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28182166ecf6fd/Documents/SEMQ/Active projects/9001/Automated system/"/>
    </mc:Choice>
  </mc:AlternateContent>
  <xr:revisionPtr revIDLastSave="93" documentId="11_A9A4B1508AD58DD80F4D96E96A34A53547D8963E" xr6:coauthVersionLast="47" xr6:coauthVersionMax="47" xr10:uidLastSave="{71FF17E1-70AF-44A7-8854-367B310F5F39}"/>
  <bookViews>
    <workbookView xWindow="-28920" yWindow="585" windowWidth="29040" windowHeight="15720" xr2:uid="{00000000-000D-0000-FFFF-FFFF00000000}"/>
  </bookViews>
  <sheets>
    <sheet name="Dashboard" sheetId="1" r:id="rId1"/>
    <sheet name="Risk_Register" sheetId="2" r:id="rId2"/>
    <sheet name="NCR_Log" sheetId="3" r:id="rId3"/>
    <sheet name="CAPA" sheetId="4" r:id="rId4"/>
    <sheet name="Internal_Audits" sheetId="5" r:id="rId5"/>
    <sheet name="Doc_Control" sheetId="6" r:id="rId6"/>
    <sheet name="Training" sheetId="7" r:id="rId7"/>
    <sheet name="Supplier_Eval" sheetId="8" r:id="rId8"/>
    <sheet name="Management_Review" sheetId="9" r:id="rId9"/>
    <sheet name="Process_Map" sheetId="10" r:id="rId10"/>
    <sheet name="Risk_by_Process" sheetId="11" r:id="rId11"/>
    <sheet name="CAPA_Summary" sheetId="12" r:id="rId12"/>
    <sheet name="NCR_Summary" sheetId="13" r:id="rId13"/>
    <sheet name="Training_Summary" sheetId="14" r:id="rId14"/>
    <sheet name="Supplier_Band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3" i="1"/>
  <c r="B11" i="1"/>
  <c r="B9" i="1"/>
  <c r="B7" i="1"/>
  <c r="B5" i="1"/>
</calcChain>
</file>

<file path=xl/sharedStrings.xml><?xml version="1.0" encoding="utf-8"?>
<sst xmlns="http://schemas.openxmlformats.org/spreadsheetml/2006/main" count="2048" uniqueCount="435">
  <si>
    <t>LOGO HERE</t>
  </si>
  <si>
    <t>Unnamed: 1</t>
  </si>
  <si>
    <t>Unnamed: 2</t>
  </si>
  <si>
    <t>ISO 9001:2015 Quality Management System</t>
  </si>
  <si>
    <t>Open NCRs</t>
  </si>
  <si>
    <t>Open CAPAs</t>
  </si>
  <si>
    <t>Overdue CAPAs</t>
  </si>
  <si>
    <t>High Risks</t>
  </si>
  <si>
    <t>Documents Due</t>
  </si>
  <si>
    <t>Expired Training</t>
  </si>
  <si>
    <t>ISO 9001:2015 QMS — Revision 1.0</t>
  </si>
  <si>
    <t>Generated:</t>
  </si>
  <si>
    <t>Risk ID</t>
  </si>
  <si>
    <t>Process</t>
  </si>
  <si>
    <t>Description</t>
  </si>
  <si>
    <t>Likelihood</t>
  </si>
  <si>
    <t>Severity</t>
  </si>
  <si>
    <t>Risk Score</t>
  </si>
  <si>
    <t>Owner</t>
  </si>
  <si>
    <t>Treatment Plan</t>
  </si>
  <si>
    <t>Due Date</t>
  </si>
  <si>
    <t>Status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</si>
  <si>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</si>
  <si>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</si>
  <si>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</si>
  <si>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</si>
  <si>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</si>
  <si>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</si>
  <si>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</si>
  <si>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</si>
  <si>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</si>
  <si>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</si>
  <si>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</si>
  <si>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</si>
  <si>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</si>
  <si>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</si>
  <si>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</si>
  <si>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</si>
  <si>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</si>
  <si>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</si>
  <si>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</si>
  <si>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</si>
  <si>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</si>
  <si>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</si>
  <si>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</si>
  <si>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</si>
  <si>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</si>
  <si>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</si>
  <si>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</si>
  <si>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</si>
  <si>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</si>
  <si>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</si>
  <si>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</si>
  <si>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</si>
  <si>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</si>
  <si>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</si>
  <si>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</si>
  <si>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</si>
  <si>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</si>
  <si>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</si>
  <si>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</si>
  <si>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</si>
  <si>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</si>
  <si>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</si>
  <si>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</si>
  <si>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</si>
  <si>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</si>
  <si>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</si>
  <si>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</si>
  <si>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</si>
  <si>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</si>
  <si>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</si>
  <si>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</si>
  <si>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</si>
  <si>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</si>
  <si>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</si>
  <si>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</si>
  <si>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</si>
  <si>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</si>
  <si>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</si>
  <si>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</si>
  <si>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</si>
  <si>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</si>
  <si>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</si>
  <si>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</si>
  <si>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</si>
  <si>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</si>
  <si>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</si>
  <si>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</si>
  <si>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</si>
  <si>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</si>
  <si>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</si>
  <si>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</si>
  <si>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</si>
  <si>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</si>
  <si>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</si>
  <si>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</si>
  <si>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</si>
  <si>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</si>
  <si>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</si>
  <si>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</si>
  <si>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</si>
  <si>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Improvement</t>
  </si>
  <si>
    <t>Production / Operations</t>
  </si>
  <si>
    <t>Support Services</t>
  </si>
  <si>
    <t>Sales &amp; Customer Engagement</t>
  </si>
  <si>
    <t>Logistics / Delivery</t>
  </si>
  <si>
    <t>Procurement</t>
  </si>
  <si>
    <t>Management &amp; Leadership</t>
  </si>
  <si>
    <t>Design &amp; Engineering</t>
  </si>
  <si>
    <t>Quality Control / Inspection</t>
  </si>
  <si>
    <t>Incorrect impeller clearance on plant pump</t>
  </si>
  <si>
    <t>Boiler tube leak causing unplanned shutdown</t>
  </si>
  <si>
    <t>Incorrect material spec on rolling stock component</t>
  </si>
  <si>
    <t>Smelter cooling failure</t>
  </si>
  <si>
    <t>Unbalanced rotor on pump overhaul</t>
  </si>
  <si>
    <t>Furnace refractory failure</t>
  </si>
  <si>
    <t>Worn ladle lining causing metal spill risk</t>
  </si>
  <si>
    <t>Seal failure on mine drainage pump</t>
  </si>
  <si>
    <t>Incorrect machining tolerance on shaft</t>
  </si>
  <si>
    <t>Late delivery of critical consumables</t>
  </si>
  <si>
    <t>Ops Manager</t>
  </si>
  <si>
    <t>Quality Manager</t>
  </si>
  <si>
    <t>Maintenance Manager</t>
  </si>
  <si>
    <t>Projects Manager</t>
  </si>
  <si>
    <t>Mitigation plan in place</t>
  </si>
  <si>
    <t>Closed</t>
  </si>
  <si>
    <t>Open</t>
  </si>
  <si>
    <t>Mitigated</t>
  </si>
  <si>
    <t>NCR No</t>
  </si>
  <si>
    <t>Date</t>
  </si>
  <si>
    <t>Source</t>
  </si>
  <si>
    <t>Immediate Correction</t>
  </si>
  <si>
    <t>Linked CAPA</t>
  </si>
  <si>
    <t>NCR001</t>
  </si>
  <si>
    <t>NCR002</t>
  </si>
  <si>
    <t>NCR003</t>
  </si>
  <si>
    <t>NCR004</t>
  </si>
  <si>
    <t>NCR005</t>
  </si>
  <si>
    <t>NCR006</t>
  </si>
  <si>
    <t>NCR007</t>
  </si>
  <si>
    <t>NCR008</t>
  </si>
  <si>
    <t>NCR009</t>
  </si>
  <si>
    <t>NCR010</t>
  </si>
  <si>
    <t>NCR011</t>
  </si>
  <si>
    <t>NCR012</t>
  </si>
  <si>
    <t>NCR013</t>
  </si>
  <si>
    <t>NCR014</t>
  </si>
  <si>
    <t>NCR015</t>
  </si>
  <si>
    <t>NCR016</t>
  </si>
  <si>
    <t>NCR017</t>
  </si>
  <si>
    <t>NCR018</t>
  </si>
  <si>
    <t>NCR019</t>
  </si>
  <si>
    <t>NCR020</t>
  </si>
  <si>
    <t>NCR021</t>
  </si>
  <si>
    <t>NCR022</t>
  </si>
  <si>
    <t>NCR023</t>
  </si>
  <si>
    <t>NCR024</t>
  </si>
  <si>
    <t>NCR025</t>
  </si>
  <si>
    <t>NCR026</t>
  </si>
  <si>
    <t>NCR027</t>
  </si>
  <si>
    <t>NCR028</t>
  </si>
  <si>
    <t>NCR029</t>
  </si>
  <si>
    <t>NCR030</t>
  </si>
  <si>
    <t>NCR031</t>
  </si>
  <si>
    <t>NCR032</t>
  </si>
  <si>
    <t>NCR033</t>
  </si>
  <si>
    <t>NCR034</t>
  </si>
  <si>
    <t>NCR035</t>
  </si>
  <si>
    <t>NCR036</t>
  </si>
  <si>
    <t>NCR037</t>
  </si>
  <si>
    <t>NCR038</t>
  </si>
  <si>
    <t>NCR039</t>
  </si>
  <si>
    <t>NCR040</t>
  </si>
  <si>
    <t>NCR041</t>
  </si>
  <si>
    <t>NCR042</t>
  </si>
  <si>
    <t>NCR043</t>
  </si>
  <si>
    <t>NCR044</t>
  </si>
  <si>
    <t>NCR045</t>
  </si>
  <si>
    <t>NCR046</t>
  </si>
  <si>
    <t>NCR047</t>
  </si>
  <si>
    <t>NCR048</t>
  </si>
  <si>
    <t>NCR049</t>
  </si>
  <si>
    <t>NCR050</t>
  </si>
  <si>
    <t>NCR051</t>
  </si>
  <si>
    <t>NCR052</t>
  </si>
  <si>
    <t>NCR053</t>
  </si>
  <si>
    <t>NCR054</t>
  </si>
  <si>
    <t>NCR055</t>
  </si>
  <si>
    <t>NCR056</t>
  </si>
  <si>
    <t>NCR057</t>
  </si>
  <si>
    <t>NCR058</t>
  </si>
  <si>
    <t>NCR059</t>
  </si>
  <si>
    <t>NCR060</t>
  </si>
  <si>
    <t>Final Inspection</t>
  </si>
  <si>
    <t>In-Process Inspection</t>
  </si>
  <si>
    <t>Internal Audit</t>
  </si>
  <si>
    <t>Customer Complaint</t>
  </si>
  <si>
    <t>Incorrect impeller clearance on pump overhaul</t>
  </si>
  <si>
    <t>Dimensional deviation on machined shaft</t>
  </si>
  <si>
    <t>Incorrect hardness on roll</t>
  </si>
  <si>
    <t>Incorrect paint spec on mining equipment</t>
  </si>
  <si>
    <t>Weld defect on furnace shell</t>
  </si>
  <si>
    <t>Wrong material certificate for boiler tube</t>
  </si>
  <si>
    <t>Missing documentation on dispatch</t>
  </si>
  <si>
    <t>Correction implemented</t>
  </si>
  <si>
    <t>CAPA001</t>
  </si>
  <si>
    <t>CAPA002</t>
  </si>
  <si>
    <t>CAPA003</t>
  </si>
  <si>
    <t>CAPA004</t>
  </si>
  <si>
    <t>CAPA006</t>
  </si>
  <si>
    <t>CAPA007</t>
  </si>
  <si>
    <t>CAPA008</t>
  </si>
  <si>
    <t>CAPA009</t>
  </si>
  <si>
    <t>CAPA010</t>
  </si>
  <si>
    <t>CAPA011</t>
  </si>
  <si>
    <t>CAPA014</t>
  </si>
  <si>
    <t>CAPA015</t>
  </si>
  <si>
    <t>CAPA016</t>
  </si>
  <si>
    <t>CAPA017</t>
  </si>
  <si>
    <t>CAPA018</t>
  </si>
  <si>
    <t>CAPA020</t>
  </si>
  <si>
    <t>CAPA023</t>
  </si>
  <si>
    <t>CAPA025</t>
  </si>
  <si>
    <t>CAPA026</t>
  </si>
  <si>
    <t>CAPA027</t>
  </si>
  <si>
    <t>CAPA030</t>
  </si>
  <si>
    <t>CAPA033</t>
  </si>
  <si>
    <t>CAPA036</t>
  </si>
  <si>
    <t>CAPA038</t>
  </si>
  <si>
    <t>CAPA039</t>
  </si>
  <si>
    <t>CAPA040</t>
  </si>
  <si>
    <t>CAPA041</t>
  </si>
  <si>
    <t>CAPA042</t>
  </si>
  <si>
    <t>CAPA043</t>
  </si>
  <si>
    <t>CAPA045</t>
  </si>
  <si>
    <t>CAPA048</t>
  </si>
  <si>
    <t>CAPA050</t>
  </si>
  <si>
    <t>CAPA054</t>
  </si>
  <si>
    <t>CAPA056</t>
  </si>
  <si>
    <t>CAPA057</t>
  </si>
  <si>
    <t>CAPA058</t>
  </si>
  <si>
    <t>CAPA059</t>
  </si>
  <si>
    <t>CAPA060</t>
  </si>
  <si>
    <t>Under Review</t>
  </si>
  <si>
    <t>CAPA No</t>
  </si>
  <si>
    <t>Linked NCR</t>
  </si>
  <si>
    <t>Date Raised</t>
  </si>
  <si>
    <t>Root Cause</t>
  </si>
  <si>
    <t>Corrective Action</t>
  </si>
  <si>
    <t>Target Date</t>
  </si>
  <si>
    <t>Completion Date</t>
  </si>
  <si>
    <t>Effectiveness</t>
  </si>
  <si>
    <t>CAPA005</t>
  </si>
  <si>
    <t>CAPA012</t>
  </si>
  <si>
    <t>CAPA013</t>
  </si>
  <si>
    <t>CAPA019</t>
  </si>
  <si>
    <t>CAPA021</t>
  </si>
  <si>
    <t>CAPA022</t>
  </si>
  <si>
    <t>CAPA024</t>
  </si>
  <si>
    <t>CAPA028</t>
  </si>
  <si>
    <t>CAPA029</t>
  </si>
  <si>
    <t>CAPA031</t>
  </si>
  <si>
    <t>CAPA032</t>
  </si>
  <si>
    <t>CAPA034</t>
  </si>
  <si>
    <t>CAPA035</t>
  </si>
  <si>
    <t>CAPA037</t>
  </si>
  <si>
    <t>CAPA044</t>
  </si>
  <si>
    <t>CAPA046</t>
  </si>
  <si>
    <t>CAPA047</t>
  </si>
  <si>
    <t>CAPA049</t>
  </si>
  <si>
    <t>Inadequate work instruction</t>
  </si>
  <si>
    <t>Supplier quality issue</t>
  </si>
  <si>
    <t>Training gap on inspection</t>
  </si>
  <si>
    <t>Poor maintenance planning</t>
  </si>
  <si>
    <t>Incorrect drawing revision used</t>
  </si>
  <si>
    <t>Update WI / retrain staff / improve inspection</t>
  </si>
  <si>
    <t>Not Verified</t>
  </si>
  <si>
    <t>Partially Effective</t>
  </si>
  <si>
    <t>Effective</t>
  </si>
  <si>
    <t>Overdue</t>
  </si>
  <si>
    <t>Audit ID</t>
  </si>
  <si>
    <t>Auditor</t>
  </si>
  <si>
    <t>Planned Date</t>
  </si>
  <si>
    <t>Actual Date</t>
  </si>
  <si>
    <t>Findings</t>
  </si>
  <si>
    <t>NC Raised</t>
  </si>
  <si>
    <t>AUD001</t>
  </si>
  <si>
    <t>AUD002</t>
  </si>
  <si>
    <t>AUD003</t>
  </si>
  <si>
    <t>AUD004</t>
  </si>
  <si>
    <t>AUD005</t>
  </si>
  <si>
    <t>AUD006</t>
  </si>
  <si>
    <t>AUD007</t>
  </si>
  <si>
    <t>AUD008</t>
  </si>
  <si>
    <t>AUD009</t>
  </si>
  <si>
    <t>AUD010</t>
  </si>
  <si>
    <t>AUD011</t>
  </si>
  <si>
    <t>AUD012</t>
  </si>
  <si>
    <t>AUD013</t>
  </si>
  <si>
    <t>AUD014</t>
  </si>
  <si>
    <t>AUD015</t>
  </si>
  <si>
    <t>AUD016</t>
  </si>
  <si>
    <t>AUD017</t>
  </si>
  <si>
    <t>AUD018</t>
  </si>
  <si>
    <t>AUD019</t>
  </si>
  <si>
    <t>AUD020</t>
  </si>
  <si>
    <t>AUD021</t>
  </si>
  <si>
    <t>AUD022</t>
  </si>
  <si>
    <t>AUD023</t>
  </si>
  <si>
    <t>AUD024</t>
  </si>
  <si>
    <t>AUD025</t>
  </si>
  <si>
    <t>AUD026</t>
  </si>
  <si>
    <t>AUD027</t>
  </si>
  <si>
    <t>Internal Auditor 2</t>
  </si>
  <si>
    <t>Internal Auditor 1</t>
  </si>
  <si>
    <t>Observation on calibration records</t>
  </si>
  <si>
    <t>No findings</t>
  </si>
  <si>
    <t>Major NC on training records</t>
  </si>
  <si>
    <t>Minor NC on document control</t>
  </si>
  <si>
    <t>Improvement opportunity on risk review</t>
  </si>
  <si>
    <t>Yes</t>
  </si>
  <si>
    <t>No</t>
  </si>
  <si>
    <t>Completed</t>
  </si>
  <si>
    <t>Planned</t>
  </si>
  <si>
    <t>Doc No</t>
  </si>
  <si>
    <t>Title</t>
  </si>
  <si>
    <t>Rev</t>
  </si>
  <si>
    <t>Issue Date</t>
  </si>
  <si>
    <t>Next Review</t>
  </si>
  <si>
    <t>QMS-001</t>
  </si>
  <si>
    <t>QMS-002</t>
  </si>
  <si>
    <t>QMS-003</t>
  </si>
  <si>
    <t>OPS-001</t>
  </si>
  <si>
    <t>OPS-002</t>
  </si>
  <si>
    <t>OPS-003</t>
  </si>
  <si>
    <t>OPS-004</t>
  </si>
  <si>
    <t>ENG-001</t>
  </si>
  <si>
    <t>SAF-001</t>
  </si>
  <si>
    <t>SAF-002</t>
  </si>
  <si>
    <t>Quality Manual</t>
  </si>
  <si>
    <t>Document Control Procedure</t>
  </si>
  <si>
    <t>Internal Audit Procedure</t>
  </si>
  <si>
    <t>Pump Refurbishment WI</t>
  </si>
  <si>
    <t>Boiler Tube Replacement WI</t>
  </si>
  <si>
    <t>Furnace Rebuild WI</t>
  </si>
  <si>
    <t>Mine Drainage Pump Overhaul WI</t>
  </si>
  <si>
    <t>Design Review Procedure</t>
  </si>
  <si>
    <t>Safety Procedure – Hot Work</t>
  </si>
  <si>
    <t>Lockout/Tagout Procedure</t>
  </si>
  <si>
    <t>Engineering Manager</t>
  </si>
  <si>
    <t>Obsolete</t>
  </si>
  <si>
    <t>Active</t>
  </si>
  <si>
    <t>Employee</t>
  </si>
  <si>
    <t>Role</t>
  </si>
  <si>
    <t>Competence</t>
  </si>
  <si>
    <t>Training Type</t>
  </si>
  <si>
    <t>Date Completed</t>
  </si>
  <si>
    <t>Next Due</t>
  </si>
  <si>
    <t>Supervisor 2</t>
  </si>
  <si>
    <t>Artisan C</t>
  </si>
  <si>
    <t>Inspector 2</t>
  </si>
  <si>
    <t>Artisan B</t>
  </si>
  <si>
    <t>Rigger 1</t>
  </si>
  <si>
    <t>Inspector 1</t>
  </si>
  <si>
    <t>Supervisor 1</t>
  </si>
  <si>
    <t>Artisan A</t>
  </si>
  <si>
    <t>Welder 2</t>
  </si>
  <si>
    <t>Artisan</t>
  </si>
  <si>
    <t>Rigger</t>
  </si>
  <si>
    <t>Inspector</t>
  </si>
  <si>
    <t>Welder</t>
  </si>
  <si>
    <t>Supervisor</t>
  </si>
  <si>
    <t>Boiler Tube Replacement</t>
  </si>
  <si>
    <t>Rigging Level 2</t>
  </si>
  <si>
    <t>ISO 9001 Awareness</t>
  </si>
  <si>
    <t>Furnace Rebuild</t>
  </si>
  <si>
    <t>Pump Overhaul</t>
  </si>
  <si>
    <t>NDT Level 2</t>
  </si>
  <si>
    <t>Online</t>
  </si>
  <si>
    <t>External</t>
  </si>
  <si>
    <t>Internal</t>
  </si>
  <si>
    <t>OEM</t>
  </si>
  <si>
    <t>Valid</t>
  </si>
  <si>
    <t>Expired</t>
  </si>
  <si>
    <t>Supplier</t>
  </si>
  <si>
    <t>Scope</t>
  </si>
  <si>
    <t>Score</t>
  </si>
  <si>
    <t>Band</t>
  </si>
  <si>
    <t>Approval Status</t>
  </si>
  <si>
    <t>Last Review</t>
  </si>
  <si>
    <t>FurnaceWorks</t>
  </si>
  <si>
    <t>TubeTech</t>
  </si>
  <si>
    <t>SteelCorp</t>
  </si>
  <si>
    <t>PumpCo</t>
  </si>
  <si>
    <t>SealPro</t>
  </si>
  <si>
    <t>TransRail</t>
  </si>
  <si>
    <t>BearingHouse</t>
  </si>
  <si>
    <t>MineEquip</t>
  </si>
  <si>
    <t>Furnace refractories</t>
  </si>
  <si>
    <t>Boiler tubes</t>
  </si>
  <si>
    <t>Steel &amp; plate</t>
  </si>
  <si>
    <t>Pump spares &amp; overhauls</t>
  </si>
  <si>
    <t>Mechanical seals</t>
  </si>
  <si>
    <t>Rolling stock components</t>
  </si>
  <si>
    <t>Bearings</t>
  </si>
  <si>
    <t>Mining equipment</t>
  </si>
  <si>
    <t>Blocked</t>
  </si>
  <si>
    <t>Conditional</t>
  </si>
  <si>
    <t>Approved</t>
  </si>
  <si>
    <t>Inactive</t>
  </si>
  <si>
    <t>Topic</t>
  </si>
  <si>
    <t>Source Sheet</t>
  </si>
  <si>
    <t>Auto-Value</t>
  </si>
  <si>
    <t>Notes</t>
  </si>
  <si>
    <t>Customer complaints</t>
  </si>
  <si>
    <t>Internal audit results</t>
  </si>
  <si>
    <t>CAPA status</t>
  </si>
  <si>
    <t>Supplier performance</t>
  </si>
  <si>
    <t>Training status</t>
  </si>
  <si>
    <t>Risk profile</t>
  </si>
  <si>
    <t>NCR_Log</t>
  </si>
  <si>
    <t>Internal_Audits</t>
  </si>
  <si>
    <t>CAPA</t>
  </si>
  <si>
    <t>Supplier_Eval</t>
  </si>
  <si>
    <t>Training</t>
  </si>
  <si>
    <t>Risk_Register</t>
  </si>
  <si>
    <t>Auto-summary in Stage 2</t>
  </si>
  <si>
    <t>Inputs</t>
  </si>
  <si>
    <t>Outputs</t>
  </si>
  <si>
    <t>Upstream</t>
  </si>
  <si>
    <t>Downstream</t>
  </si>
  <si>
    <t>All Processes</t>
  </si>
  <si>
    <t>Customer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</si>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</sst>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CAPA Status Overview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 Status</c:v>
          </c:tx>
          <c:invertIfNegative val="0"/>
          <c:cat>
            <c:strRef>
              <c:f>CAPA_Summary!$A$2:$A$10</c:f>
              <c:strCache>
                <c:ptCount val="3"/>
                <c:pt idx="0">
                  <c:v>Open</c:v>
                </c:pt>
                <c:pt idx="1">
                  <c:v>Closed</c:v>
                </c:pt>
                <c:pt idx="2">
                  <c:v>Overdue</c:v>
                </c:pt>
              </c:strCache>
            </c:strRef>
          </c:cat>
          <c:val>
            <c:numRef>
              <c:f>CAPA_Summary!$B$2:$B$10</c:f>
              <c:numCache>
                <c:formatCode>General</c:formatCode>
                <c:ptCount val="9"/>
                <c:pt idx="0">
                  <c:v>20</c:v>
                </c:pt>
                <c:pt idx="1">
                  <c:v>16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B-4DDB-A338-4F2E8B9D7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NCR Status Overview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NCR Status</c:v>
          </c:tx>
          <c:invertIfNegative val="0"/>
          <c:cat>
            <c:strRef>
              <c:f>NCR_Summary!$A$2:$A$10</c:f>
              <c:strCache>
                <c:ptCount val="3"/>
                <c:pt idx="0">
                  <c:v>Open</c:v>
                </c:pt>
                <c:pt idx="1">
                  <c:v>Under Review</c:v>
                </c:pt>
                <c:pt idx="2">
                  <c:v>Closed</c:v>
                </c:pt>
              </c:strCache>
            </c:strRef>
          </c:cat>
          <c:val>
            <c:numRef>
              <c:f>NCR_Summary!$B$2:$B$10</c:f>
              <c:numCache>
                <c:formatCode>General</c:formatCode>
                <c:ptCount val="9"/>
                <c:pt idx="0">
                  <c:v>28</c:v>
                </c:pt>
                <c:pt idx="1">
                  <c:v>22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5-4B43-B78C-48B7C8D7F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by Process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Risk Score by Process</c:v>
          </c:tx>
          <c:invertIfNegative val="0"/>
          <c:cat>
            <c:strRef>
              <c:f>Risk_by_Process!$A$2:$A$20</c:f>
              <c:strCache>
                <c:ptCount val="9"/>
                <c:pt idx="0">
                  <c:v>Design &amp; Engineering</c:v>
                </c:pt>
                <c:pt idx="1">
                  <c:v>Improvement</c:v>
                </c:pt>
                <c:pt idx="2">
                  <c:v>Logistics / Delivery</c:v>
                </c:pt>
                <c:pt idx="3">
                  <c:v>Management &amp; Leadership</c:v>
                </c:pt>
                <c:pt idx="4">
                  <c:v>Procurement</c:v>
                </c:pt>
                <c:pt idx="5">
                  <c:v>Production / Operations</c:v>
                </c:pt>
                <c:pt idx="6">
                  <c:v>Quality Control / Inspection</c:v>
                </c:pt>
                <c:pt idx="7">
                  <c:v>Sales &amp; Customer Engagement</c:v>
                </c:pt>
                <c:pt idx="8">
                  <c:v>Support Services</c:v>
                </c:pt>
              </c:strCache>
            </c:strRef>
          </c:cat>
          <c:val>
            <c:numRef>
              <c:f>Risk_by_Process!$B$2:$B$20</c:f>
              <c:numCache>
                <c:formatCode>General</c:formatCode>
                <c:ptCount val="19"/>
                <c:pt idx="0">
                  <c:v>74</c:v>
                </c:pt>
                <c:pt idx="1">
                  <c:v>50</c:v>
                </c:pt>
                <c:pt idx="2">
                  <c:v>28</c:v>
                </c:pt>
                <c:pt idx="3">
                  <c:v>118</c:v>
                </c:pt>
                <c:pt idx="4">
                  <c:v>102</c:v>
                </c:pt>
                <c:pt idx="5">
                  <c:v>93</c:v>
                </c:pt>
                <c:pt idx="6">
                  <c:v>85</c:v>
                </c:pt>
                <c:pt idx="7">
                  <c:v>94</c:v>
                </c:pt>
                <c:pt idx="8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C-4EE1-84D2-CFB23C0E9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Training Valid vs Expired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Training Status</c:v>
          </c:tx>
          <c:cat>
            <c:strRef>
              <c:f>Training_Summary!$A$2:$A$10</c:f>
              <c:strCache>
                <c:ptCount val="2"/>
                <c:pt idx="0">
                  <c:v>Valid</c:v>
                </c:pt>
                <c:pt idx="1">
                  <c:v>Expired</c:v>
                </c:pt>
              </c:strCache>
            </c:strRef>
          </c:cat>
          <c:val>
            <c:numRef>
              <c:f>Training_Summary!$B$2:$B$10</c:f>
              <c:numCache>
                <c:formatCode>General</c:formatCode>
                <c:ptCount val="9"/>
                <c:pt idx="0">
                  <c:v>46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1-4DBA-83E7-A99ECAD4A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10</xdr:col>
      <xdr:colOff>304800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304800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342900</xdr:colOff>
      <xdr:row>5</xdr:row>
      <xdr:rowOff>19050</xdr:rowOff>
    </xdr:from>
    <xdr:to>
      <xdr:col>18</xdr:col>
      <xdr:colOff>38100</xdr:colOff>
      <xdr:row>19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342900</xdr:colOff>
      <xdr:row>19</xdr:row>
      <xdr:rowOff>85725</xdr:rowOff>
    </xdr:from>
    <xdr:to>
      <xdr:col>18</xdr:col>
      <xdr:colOff>38100</xdr:colOff>
      <xdr:row>33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T9" sqref="T9"/>
    </sheetView>
  </sheetViews>
  <sheetFormatPr defaultRowHeight="14.5" x14ac:dyDescent="0.35"/>
  <cols>
    <col min="1" max="1" width="17.6328125" customWidth="1"/>
    <col min="8" max="8" width="22.26953125" customWidth="1"/>
  </cols>
  <sheetData>
    <row r="1" spans="1:8" x14ac:dyDescent="0.35">
      <c r="A1" t="s">
        <v>0</v>
      </c>
      <c r="B1" t="s">
        <v>1</v>
      </c>
      <c r="C1" t="s">
        <v>2</v>
      </c>
      <c r="D1" s="3" t="s">
        <v>3</v>
      </c>
      <c r="E1" s="3"/>
      <c r="F1" s="3"/>
      <c r="G1" s="3"/>
      <c r="H1" s="3"/>
    </row>
    <row r="2" spans="1:8" x14ac:dyDescent="0.35">
      <c r="D2" s="3"/>
      <c r="E2" s="3"/>
      <c r="F2" s="3"/>
      <c r="G2" s="3"/>
      <c r="H2" s="3"/>
    </row>
    <row r="5" spans="1:8" ht="18.5" x14ac:dyDescent="0.45">
      <c r="A5" s="1" t="s">
        <v>4</v>
      </c>
      <c r="B5" s="2">
        <f>COUNTIF(NCR_Log!H:H,"Open")</f>
        <v>28</v>
      </c>
    </row>
    <row r="7" spans="1:8" ht="18.5" x14ac:dyDescent="0.45">
      <c r="A7" s="1" t="s">
        <v>5</v>
      </c>
      <c r="B7" s="2">
        <f>COUNTIF(CAPA!J:J,"Open")</f>
        <v>20</v>
      </c>
    </row>
    <row r="9" spans="1:8" ht="18.5" x14ac:dyDescent="0.45">
      <c r="A9" s="1" t="s">
        <v>6</v>
      </c>
      <c r="B9" s="2">
        <f>COUNTIF(CAPA!J:J,"Overdue")</f>
        <v>14</v>
      </c>
    </row>
    <row r="11" spans="1:8" ht="18.5" x14ac:dyDescent="0.45">
      <c r="A11" s="1" t="s">
        <v>7</v>
      </c>
      <c r="B11" s="2">
        <f>COUNTIF(Risk_Register!F:F,"&gt;12")</f>
        <v>20</v>
      </c>
    </row>
    <row r="13" spans="1:8" ht="18.5" x14ac:dyDescent="0.45">
      <c r="A13" s="1" t="s">
        <v>8</v>
      </c>
      <c r="B13" s="2">
        <f>COUNTIF(Doc_Control!G:G,"Review Due")</f>
        <v>0</v>
      </c>
    </row>
    <row r="15" spans="1:8" ht="18.5" x14ac:dyDescent="0.45">
      <c r="A15" s="1" t="s">
        <v>9</v>
      </c>
      <c r="B15" s="2">
        <f>COUNTIF(Training!G:G,"Expired")</f>
        <v>14</v>
      </c>
    </row>
    <row r="40" spans="1:1" x14ac:dyDescent="0.35">
      <c r="A40" t="s">
        <v>10</v>
      </c>
    </row>
    <row r="41" spans="1:1" x14ac:dyDescent="0.35">
      <c r="A41" t="s">
        <v>11</v>
      </c>
    </row>
  </sheetData>
  <mergeCells count="1">
    <mergeCell ref="D1:H2"/>
  </mergeCells>
  <conditionalFormatting sqref="B5">
    <cfRule type="cellIs" dxfId="11" priority="1" operator="equal">
      <formula>0</formula>
    </cfRule>
    <cfRule type="cellIs" dxfId="10" priority="2" operator="greaterThan">
      <formula>0</formula>
    </cfRule>
  </conditionalFormatting>
  <conditionalFormatting sqref="B7">
    <cfRule type="cellIs" dxfId="9" priority="3" operator="equal">
      <formula>0</formula>
    </cfRule>
    <cfRule type="cellIs" dxfId="8" priority="4" operator="greaterThan">
      <formula>0</formula>
    </cfRule>
  </conditionalFormatting>
  <conditionalFormatting sqref="B9">
    <cfRule type="cellIs" dxfId="7" priority="5" operator="equal">
      <formula>0</formula>
    </cfRule>
    <cfRule type="cellIs" dxfId="6" priority="6" operator="greaterThan">
      <formula>0</formula>
    </cfRule>
  </conditionalFormatting>
  <conditionalFormatting sqref="B11">
    <cfRule type="cellIs" dxfId="5" priority="7" operator="equal">
      <formula>0</formula>
    </cfRule>
    <cfRule type="cellIs" dxfId="4" priority="8" operator="greaterThan">
      <formula>0</formula>
    </cfRule>
  </conditionalFormatting>
  <conditionalFormatting sqref="B13">
    <cfRule type="cellIs" dxfId="3" priority="9" operator="equal">
      <formula>0</formula>
    </cfRule>
    <cfRule type="cellIs" dxfId="2" priority="10" operator="greaterThan">
      <formula>0</formula>
    </cfRule>
  </conditionalFormatting>
  <conditionalFormatting sqref="B15">
    <cfRule type="cellIs" dxfId="1" priority="11" operator="equal">
      <formula>0</formula>
    </cfRule>
    <cfRule type="cellIs" dxfId="0" priority="1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workbookViewId="0">
      <selection activeCell="G11" sqref="G11"/>
    </sheetView>
  </sheetViews>
  <sheetFormatPr defaultRowHeight="14.5" x14ac:dyDescent="0.35"/>
  <cols>
    <col min="2" max="2" width="34.36328125" customWidth="1"/>
    <col min="3" max="3" width="50" customWidth="1"/>
    <col min="6" max="6" width="10.81640625" customWidth="1"/>
    <col min="7" max="7" width="26.26953125" customWidth="1"/>
    <col min="8" max="8" width="22.08984375" customWidth="1"/>
    <col min="9" max="9" width="17.81640625" bestFit="1" customWidth="1"/>
    <col min="10" max="10" width="13.81640625" customWidth="1"/>
  </cols>
  <sheetData>
    <row r="1" spans="1:10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35">
      <c r="A2" t="s">
        <v>22</v>
      </c>
      <c r="B2" t="s">
        <v>102</v>
      </c>
      <c r="C2" t="s">
        <v>111</v>
      </c>
      <c r="D2">
        <v>2</v>
      </c>
      <c r="E2">
        <v>4</v>
      </c>
      <c r="F2">
        <v>8</v>
      </c>
      <c r="G2" t="s">
        <v>121</v>
      </c>
      <c r="H2" t="s">
        <v>125</v>
      </c>
      <c r="I2" s="4">
        <v>46034</v>
      </c>
      <c r="J2" t="s">
        <v>126</v>
      </c>
    </row>
    <row r="3" spans="1:10" x14ac:dyDescent="0.35">
      <c r="A3" t="s">
        <v>23</v>
      </c>
      <c r="B3" t="s">
        <v>103</v>
      </c>
      <c r="C3" t="s">
        <v>112</v>
      </c>
      <c r="D3">
        <v>5</v>
      </c>
      <c r="E3">
        <v>5</v>
      </c>
      <c r="F3">
        <v>25</v>
      </c>
      <c r="G3" t="s">
        <v>122</v>
      </c>
      <c r="H3" t="s">
        <v>125</v>
      </c>
      <c r="I3" s="4">
        <v>46035</v>
      </c>
      <c r="J3" t="s">
        <v>126</v>
      </c>
    </row>
    <row r="4" spans="1:10" x14ac:dyDescent="0.35">
      <c r="A4" t="s">
        <v>24</v>
      </c>
      <c r="B4" t="s">
        <v>104</v>
      </c>
      <c r="C4" t="s">
        <v>113</v>
      </c>
      <c r="D4">
        <v>3</v>
      </c>
      <c r="E4">
        <v>2</v>
      </c>
      <c r="F4">
        <v>6</v>
      </c>
      <c r="G4" t="s">
        <v>123</v>
      </c>
      <c r="H4" t="s">
        <v>125</v>
      </c>
      <c r="I4" s="4">
        <v>46036</v>
      </c>
      <c r="J4" t="s">
        <v>126</v>
      </c>
    </row>
    <row r="5" spans="1:10" x14ac:dyDescent="0.35">
      <c r="A5" t="s">
        <v>25</v>
      </c>
      <c r="B5" t="s">
        <v>105</v>
      </c>
      <c r="C5" t="s">
        <v>111</v>
      </c>
      <c r="D5">
        <v>1</v>
      </c>
      <c r="E5">
        <v>4</v>
      </c>
      <c r="F5">
        <v>4</v>
      </c>
      <c r="G5" t="s">
        <v>124</v>
      </c>
      <c r="H5" t="s">
        <v>125</v>
      </c>
      <c r="I5" s="4">
        <v>46037</v>
      </c>
      <c r="J5" t="s">
        <v>127</v>
      </c>
    </row>
    <row r="6" spans="1:10" x14ac:dyDescent="0.35">
      <c r="A6" t="s">
        <v>26</v>
      </c>
      <c r="B6" t="s">
        <v>106</v>
      </c>
      <c r="C6" t="s">
        <v>114</v>
      </c>
      <c r="D6">
        <v>4</v>
      </c>
      <c r="E6">
        <v>3</v>
      </c>
      <c r="F6">
        <v>12</v>
      </c>
      <c r="G6" t="s">
        <v>121</v>
      </c>
      <c r="H6" t="s">
        <v>125</v>
      </c>
      <c r="I6" s="4">
        <v>46038</v>
      </c>
      <c r="J6" t="s">
        <v>127</v>
      </c>
    </row>
    <row r="7" spans="1:10" x14ac:dyDescent="0.35">
      <c r="A7" t="s">
        <v>27</v>
      </c>
      <c r="B7" t="s">
        <v>104</v>
      </c>
      <c r="C7" t="s">
        <v>115</v>
      </c>
      <c r="D7">
        <v>4</v>
      </c>
      <c r="E7">
        <v>3</v>
      </c>
      <c r="F7">
        <v>12</v>
      </c>
      <c r="G7" t="s">
        <v>121</v>
      </c>
      <c r="H7" t="s">
        <v>125</v>
      </c>
      <c r="I7" s="4">
        <v>46039</v>
      </c>
      <c r="J7" t="s">
        <v>126</v>
      </c>
    </row>
    <row r="8" spans="1:10" x14ac:dyDescent="0.35">
      <c r="A8" t="s">
        <v>28</v>
      </c>
      <c r="B8" t="s">
        <v>103</v>
      </c>
      <c r="C8" t="s">
        <v>116</v>
      </c>
      <c r="D8">
        <v>5</v>
      </c>
      <c r="E8">
        <v>4</v>
      </c>
      <c r="F8">
        <v>20</v>
      </c>
      <c r="G8" t="s">
        <v>123</v>
      </c>
      <c r="H8" t="s">
        <v>125</v>
      </c>
      <c r="I8" s="4">
        <v>46040</v>
      </c>
      <c r="J8" t="s">
        <v>127</v>
      </c>
    </row>
    <row r="9" spans="1:10" x14ac:dyDescent="0.35">
      <c r="A9" t="s">
        <v>29</v>
      </c>
      <c r="B9" t="s">
        <v>105</v>
      </c>
      <c r="C9" t="s">
        <v>112</v>
      </c>
      <c r="D9">
        <v>4</v>
      </c>
      <c r="E9">
        <v>2</v>
      </c>
      <c r="F9">
        <v>8</v>
      </c>
      <c r="G9" t="s">
        <v>123</v>
      </c>
      <c r="H9" t="s">
        <v>125</v>
      </c>
      <c r="I9" s="4">
        <v>46041</v>
      </c>
      <c r="J9" t="s">
        <v>128</v>
      </c>
    </row>
    <row r="10" spans="1:10" x14ac:dyDescent="0.35">
      <c r="A10" t="s">
        <v>30</v>
      </c>
      <c r="B10" t="s">
        <v>102</v>
      </c>
      <c r="C10" t="s">
        <v>115</v>
      </c>
      <c r="D10">
        <v>4</v>
      </c>
      <c r="E10">
        <v>4</v>
      </c>
      <c r="F10">
        <v>16</v>
      </c>
      <c r="G10" t="s">
        <v>124</v>
      </c>
      <c r="H10" t="s">
        <v>125</v>
      </c>
      <c r="I10" s="4">
        <v>46042</v>
      </c>
      <c r="J10" t="s">
        <v>127</v>
      </c>
    </row>
    <row r="11" spans="1:10" x14ac:dyDescent="0.35">
      <c r="A11" t="s">
        <v>31</v>
      </c>
      <c r="B11" t="s">
        <v>107</v>
      </c>
      <c r="C11" t="s">
        <v>117</v>
      </c>
      <c r="D11">
        <v>2</v>
      </c>
      <c r="E11">
        <v>5</v>
      </c>
      <c r="F11">
        <v>10</v>
      </c>
      <c r="G11" t="s">
        <v>121</v>
      </c>
      <c r="H11" t="s">
        <v>125</v>
      </c>
      <c r="I11" s="4">
        <v>46043</v>
      </c>
      <c r="J11" t="s">
        <v>127</v>
      </c>
    </row>
    <row r="12" spans="1:10" x14ac:dyDescent="0.35">
      <c r="A12" t="s">
        <v>32</v>
      </c>
      <c r="B12" t="s">
        <v>105</v>
      </c>
      <c r="C12" t="s">
        <v>114</v>
      </c>
      <c r="D12">
        <v>4</v>
      </c>
      <c r="E12">
        <v>1</v>
      </c>
      <c r="F12">
        <v>4</v>
      </c>
      <c r="G12" t="s">
        <v>122</v>
      </c>
      <c r="H12" t="s">
        <v>125</v>
      </c>
      <c r="I12" s="4">
        <v>46044</v>
      </c>
      <c r="J12" t="s">
        <v>128</v>
      </c>
    </row>
    <row r="13" spans="1:10" x14ac:dyDescent="0.35">
      <c r="A13" t="s">
        <v>33</v>
      </c>
      <c r="B13" t="s">
        <v>107</v>
      </c>
      <c r="C13" t="s">
        <v>111</v>
      </c>
      <c r="D13">
        <v>5</v>
      </c>
      <c r="E13">
        <v>3</v>
      </c>
      <c r="F13">
        <v>15</v>
      </c>
      <c r="G13" t="s">
        <v>121</v>
      </c>
      <c r="H13" t="s">
        <v>125</v>
      </c>
      <c r="I13" s="4">
        <v>46045</v>
      </c>
      <c r="J13" t="s">
        <v>128</v>
      </c>
    </row>
    <row r="14" spans="1:10" x14ac:dyDescent="0.35">
      <c r="A14" t="s">
        <v>34</v>
      </c>
      <c r="B14" t="s">
        <v>108</v>
      </c>
      <c r="C14" t="s">
        <v>118</v>
      </c>
      <c r="D14">
        <v>5</v>
      </c>
      <c r="E14">
        <v>4</v>
      </c>
      <c r="F14">
        <v>20</v>
      </c>
      <c r="G14" t="s">
        <v>121</v>
      </c>
      <c r="H14" t="s">
        <v>125</v>
      </c>
      <c r="I14" s="4">
        <v>46046</v>
      </c>
      <c r="J14" t="s">
        <v>127</v>
      </c>
    </row>
    <row r="15" spans="1:10" x14ac:dyDescent="0.35">
      <c r="A15" t="s">
        <v>35</v>
      </c>
      <c r="B15" t="s">
        <v>108</v>
      </c>
      <c r="C15" t="s">
        <v>113</v>
      </c>
      <c r="D15">
        <v>4</v>
      </c>
      <c r="E15">
        <v>5</v>
      </c>
      <c r="F15">
        <v>20</v>
      </c>
      <c r="G15" t="s">
        <v>124</v>
      </c>
      <c r="H15" t="s">
        <v>125</v>
      </c>
      <c r="I15" s="4">
        <v>46047</v>
      </c>
      <c r="J15" t="s">
        <v>128</v>
      </c>
    </row>
    <row r="16" spans="1:10" x14ac:dyDescent="0.35">
      <c r="A16" t="s">
        <v>36</v>
      </c>
      <c r="B16" t="s">
        <v>107</v>
      </c>
      <c r="C16" t="s">
        <v>119</v>
      </c>
      <c r="D16">
        <v>3</v>
      </c>
      <c r="E16">
        <v>1</v>
      </c>
      <c r="F16">
        <v>3</v>
      </c>
      <c r="G16" t="s">
        <v>122</v>
      </c>
      <c r="H16" t="s">
        <v>125</v>
      </c>
      <c r="I16" s="4">
        <v>46048</v>
      </c>
      <c r="J16" t="s">
        <v>128</v>
      </c>
    </row>
    <row r="17" spans="1:10" x14ac:dyDescent="0.35">
      <c r="A17" t="s">
        <v>37</v>
      </c>
      <c r="B17" t="s">
        <v>102</v>
      </c>
      <c r="C17" t="s">
        <v>113</v>
      </c>
      <c r="D17">
        <v>3</v>
      </c>
      <c r="E17">
        <v>5</v>
      </c>
      <c r="F17">
        <v>15</v>
      </c>
      <c r="G17" t="s">
        <v>122</v>
      </c>
      <c r="H17" t="s">
        <v>125</v>
      </c>
      <c r="I17" s="4">
        <v>46049</v>
      </c>
      <c r="J17" t="s">
        <v>128</v>
      </c>
    </row>
    <row r="18" spans="1:10" x14ac:dyDescent="0.35">
      <c r="A18" t="s">
        <v>38</v>
      </c>
      <c r="B18" t="s">
        <v>106</v>
      </c>
      <c r="C18" t="s">
        <v>113</v>
      </c>
      <c r="D18">
        <v>1</v>
      </c>
      <c r="E18">
        <v>2</v>
      </c>
      <c r="F18">
        <v>2</v>
      </c>
      <c r="G18" t="s">
        <v>123</v>
      </c>
      <c r="H18" t="s">
        <v>125</v>
      </c>
      <c r="I18" s="4">
        <v>46050</v>
      </c>
      <c r="J18" t="s">
        <v>128</v>
      </c>
    </row>
    <row r="19" spans="1:10" x14ac:dyDescent="0.35">
      <c r="A19" t="s">
        <v>39</v>
      </c>
      <c r="B19" t="s">
        <v>104</v>
      </c>
      <c r="C19" t="s">
        <v>117</v>
      </c>
      <c r="D19">
        <v>5</v>
      </c>
      <c r="E19">
        <v>1</v>
      </c>
      <c r="F19">
        <v>5</v>
      </c>
      <c r="G19" t="s">
        <v>123</v>
      </c>
      <c r="H19" t="s">
        <v>125</v>
      </c>
      <c r="I19" s="4">
        <v>46051</v>
      </c>
      <c r="J19" t="s">
        <v>126</v>
      </c>
    </row>
    <row r="20" spans="1:10" x14ac:dyDescent="0.35">
      <c r="A20" t="s">
        <v>40</v>
      </c>
      <c r="B20" t="s">
        <v>108</v>
      </c>
      <c r="C20" t="s">
        <v>112</v>
      </c>
      <c r="D20">
        <v>1</v>
      </c>
      <c r="E20">
        <v>1</v>
      </c>
      <c r="F20">
        <v>1</v>
      </c>
      <c r="G20" t="s">
        <v>124</v>
      </c>
      <c r="H20" t="s">
        <v>125</v>
      </c>
      <c r="I20" s="4">
        <v>46052</v>
      </c>
      <c r="J20" t="s">
        <v>128</v>
      </c>
    </row>
    <row r="21" spans="1:10" x14ac:dyDescent="0.35">
      <c r="A21" t="s">
        <v>41</v>
      </c>
      <c r="B21" t="s">
        <v>103</v>
      </c>
      <c r="C21" t="s">
        <v>113</v>
      </c>
      <c r="D21">
        <v>2</v>
      </c>
      <c r="E21">
        <v>5</v>
      </c>
      <c r="F21">
        <v>10</v>
      </c>
      <c r="G21" t="s">
        <v>123</v>
      </c>
      <c r="H21" t="s">
        <v>125</v>
      </c>
      <c r="I21" s="4">
        <v>46053</v>
      </c>
      <c r="J21" t="s">
        <v>126</v>
      </c>
    </row>
    <row r="22" spans="1:10" x14ac:dyDescent="0.35">
      <c r="A22" t="s">
        <v>42</v>
      </c>
      <c r="B22" t="s">
        <v>109</v>
      </c>
      <c r="C22" t="s">
        <v>120</v>
      </c>
      <c r="D22">
        <v>1</v>
      </c>
      <c r="E22">
        <v>2</v>
      </c>
      <c r="F22">
        <v>2</v>
      </c>
      <c r="G22" t="s">
        <v>121</v>
      </c>
      <c r="H22" t="s">
        <v>125</v>
      </c>
      <c r="I22" s="4">
        <v>46054</v>
      </c>
      <c r="J22" t="s">
        <v>126</v>
      </c>
    </row>
    <row r="23" spans="1:10" x14ac:dyDescent="0.35">
      <c r="A23" t="s">
        <v>43</v>
      </c>
      <c r="B23" t="s">
        <v>103</v>
      </c>
      <c r="C23" t="s">
        <v>113</v>
      </c>
      <c r="D23">
        <v>1</v>
      </c>
      <c r="E23">
        <v>3</v>
      </c>
      <c r="F23">
        <v>3</v>
      </c>
      <c r="G23" t="s">
        <v>123</v>
      </c>
      <c r="H23" t="s">
        <v>125</v>
      </c>
      <c r="I23" s="4">
        <v>46055</v>
      </c>
      <c r="J23" t="s">
        <v>128</v>
      </c>
    </row>
    <row r="24" spans="1:10" x14ac:dyDescent="0.35">
      <c r="A24" t="s">
        <v>44</v>
      </c>
      <c r="B24" t="s">
        <v>103</v>
      </c>
      <c r="C24" t="s">
        <v>113</v>
      </c>
      <c r="D24">
        <v>3</v>
      </c>
      <c r="E24">
        <v>5</v>
      </c>
      <c r="F24">
        <v>15</v>
      </c>
      <c r="G24" t="s">
        <v>122</v>
      </c>
      <c r="H24" t="s">
        <v>125</v>
      </c>
      <c r="I24" s="4">
        <v>46056</v>
      </c>
      <c r="J24" t="s">
        <v>128</v>
      </c>
    </row>
    <row r="25" spans="1:10" x14ac:dyDescent="0.35">
      <c r="A25" t="s">
        <v>45</v>
      </c>
      <c r="B25" t="s">
        <v>102</v>
      </c>
      <c r="C25" t="s">
        <v>112</v>
      </c>
      <c r="D25">
        <v>1</v>
      </c>
      <c r="E25">
        <v>1</v>
      </c>
      <c r="F25">
        <v>1</v>
      </c>
      <c r="G25" t="s">
        <v>121</v>
      </c>
      <c r="H25" t="s">
        <v>125</v>
      </c>
      <c r="I25" s="4">
        <v>46057</v>
      </c>
      <c r="J25" t="s">
        <v>128</v>
      </c>
    </row>
    <row r="26" spans="1:10" x14ac:dyDescent="0.35">
      <c r="A26" t="s">
        <v>46</v>
      </c>
      <c r="B26" t="s">
        <v>107</v>
      </c>
      <c r="C26" t="s">
        <v>118</v>
      </c>
      <c r="D26">
        <v>5</v>
      </c>
      <c r="E26">
        <v>3</v>
      </c>
      <c r="F26">
        <v>15</v>
      </c>
      <c r="G26" t="s">
        <v>124</v>
      </c>
      <c r="H26" t="s">
        <v>125</v>
      </c>
      <c r="I26" s="4">
        <v>46058</v>
      </c>
      <c r="J26" t="s">
        <v>126</v>
      </c>
    </row>
    <row r="27" spans="1:10" x14ac:dyDescent="0.35">
      <c r="A27" t="s">
        <v>47</v>
      </c>
      <c r="B27" t="s">
        <v>108</v>
      </c>
      <c r="C27" t="s">
        <v>115</v>
      </c>
      <c r="D27">
        <v>5</v>
      </c>
      <c r="E27">
        <v>2</v>
      </c>
      <c r="F27">
        <v>10</v>
      </c>
      <c r="G27" t="s">
        <v>121</v>
      </c>
      <c r="H27" t="s">
        <v>125</v>
      </c>
      <c r="I27" s="4">
        <v>46059</v>
      </c>
      <c r="J27" t="s">
        <v>126</v>
      </c>
    </row>
    <row r="28" spans="1:10" x14ac:dyDescent="0.35">
      <c r="A28" t="s">
        <v>48</v>
      </c>
      <c r="B28" t="s">
        <v>103</v>
      </c>
      <c r="C28" t="s">
        <v>119</v>
      </c>
      <c r="D28">
        <v>4</v>
      </c>
      <c r="E28">
        <v>2</v>
      </c>
      <c r="F28">
        <v>8</v>
      </c>
      <c r="G28" t="s">
        <v>123</v>
      </c>
      <c r="H28" t="s">
        <v>125</v>
      </c>
      <c r="I28" s="4">
        <v>46060</v>
      </c>
      <c r="J28" t="s">
        <v>128</v>
      </c>
    </row>
    <row r="29" spans="1:10" x14ac:dyDescent="0.35">
      <c r="A29" t="s">
        <v>49</v>
      </c>
      <c r="B29" t="s">
        <v>108</v>
      </c>
      <c r="C29" t="s">
        <v>114</v>
      </c>
      <c r="D29">
        <v>2</v>
      </c>
      <c r="E29">
        <v>5</v>
      </c>
      <c r="F29">
        <v>10</v>
      </c>
      <c r="G29" t="s">
        <v>122</v>
      </c>
      <c r="H29" t="s">
        <v>125</v>
      </c>
      <c r="I29" s="4">
        <v>46061</v>
      </c>
      <c r="J29" t="s">
        <v>127</v>
      </c>
    </row>
    <row r="30" spans="1:10" x14ac:dyDescent="0.35">
      <c r="A30" t="s">
        <v>50</v>
      </c>
      <c r="B30" t="s">
        <v>107</v>
      </c>
      <c r="C30" t="s">
        <v>119</v>
      </c>
      <c r="D30">
        <v>2</v>
      </c>
      <c r="E30">
        <v>3</v>
      </c>
      <c r="F30">
        <v>6</v>
      </c>
      <c r="G30" t="s">
        <v>123</v>
      </c>
      <c r="H30" t="s">
        <v>125</v>
      </c>
      <c r="I30" s="4">
        <v>46062</v>
      </c>
      <c r="J30" t="s">
        <v>127</v>
      </c>
    </row>
    <row r="31" spans="1:10" x14ac:dyDescent="0.35">
      <c r="A31" t="s">
        <v>51</v>
      </c>
      <c r="B31" t="s">
        <v>108</v>
      </c>
      <c r="C31" t="s">
        <v>113</v>
      </c>
      <c r="D31">
        <v>4</v>
      </c>
      <c r="E31">
        <v>3</v>
      </c>
      <c r="F31">
        <v>12</v>
      </c>
      <c r="G31" t="s">
        <v>123</v>
      </c>
      <c r="H31" t="s">
        <v>125</v>
      </c>
      <c r="I31" s="4">
        <v>46063</v>
      </c>
      <c r="J31" t="s">
        <v>128</v>
      </c>
    </row>
    <row r="32" spans="1:10" x14ac:dyDescent="0.35">
      <c r="A32" t="s">
        <v>52</v>
      </c>
      <c r="B32" t="s">
        <v>108</v>
      </c>
      <c r="C32" t="s">
        <v>120</v>
      </c>
      <c r="D32">
        <v>3</v>
      </c>
      <c r="E32">
        <v>3</v>
      </c>
      <c r="F32">
        <v>9</v>
      </c>
      <c r="G32" t="s">
        <v>122</v>
      </c>
      <c r="H32" t="s">
        <v>125</v>
      </c>
      <c r="I32" s="4">
        <v>46064</v>
      </c>
      <c r="J32" t="s">
        <v>127</v>
      </c>
    </row>
    <row r="33" spans="1:10" x14ac:dyDescent="0.35">
      <c r="A33" t="s">
        <v>53</v>
      </c>
      <c r="B33" t="s">
        <v>109</v>
      </c>
      <c r="C33" t="s">
        <v>112</v>
      </c>
      <c r="D33">
        <v>4</v>
      </c>
      <c r="E33">
        <v>2</v>
      </c>
      <c r="F33">
        <v>8</v>
      </c>
      <c r="G33" t="s">
        <v>122</v>
      </c>
      <c r="H33" t="s">
        <v>125</v>
      </c>
      <c r="I33" s="4">
        <v>46065</v>
      </c>
      <c r="J33" t="s">
        <v>127</v>
      </c>
    </row>
    <row r="34" spans="1:10" x14ac:dyDescent="0.35">
      <c r="A34" t="s">
        <v>54</v>
      </c>
      <c r="B34" t="s">
        <v>104</v>
      </c>
      <c r="C34" t="s">
        <v>114</v>
      </c>
      <c r="D34">
        <v>1</v>
      </c>
      <c r="E34">
        <v>3</v>
      </c>
      <c r="F34">
        <v>3</v>
      </c>
      <c r="G34" t="s">
        <v>121</v>
      </c>
      <c r="H34" t="s">
        <v>125</v>
      </c>
      <c r="I34" s="4">
        <v>46066</v>
      </c>
      <c r="J34" t="s">
        <v>127</v>
      </c>
    </row>
    <row r="35" spans="1:10" x14ac:dyDescent="0.35">
      <c r="A35" t="s">
        <v>55</v>
      </c>
      <c r="B35" t="s">
        <v>105</v>
      </c>
      <c r="C35" t="s">
        <v>116</v>
      </c>
      <c r="D35">
        <v>5</v>
      </c>
      <c r="E35">
        <v>4</v>
      </c>
      <c r="F35">
        <v>20</v>
      </c>
      <c r="G35" t="s">
        <v>124</v>
      </c>
      <c r="H35" t="s">
        <v>125</v>
      </c>
      <c r="I35" s="4">
        <v>46067</v>
      </c>
      <c r="J35" t="s">
        <v>127</v>
      </c>
    </row>
    <row r="36" spans="1:10" x14ac:dyDescent="0.35">
      <c r="A36" t="s">
        <v>56</v>
      </c>
      <c r="B36" t="s">
        <v>105</v>
      </c>
      <c r="C36" t="s">
        <v>119</v>
      </c>
      <c r="D36">
        <v>5</v>
      </c>
      <c r="E36">
        <v>4</v>
      </c>
      <c r="F36">
        <v>20</v>
      </c>
      <c r="G36" t="s">
        <v>123</v>
      </c>
      <c r="H36" t="s">
        <v>125</v>
      </c>
      <c r="I36" s="4">
        <v>46068</v>
      </c>
      <c r="J36" t="s">
        <v>126</v>
      </c>
    </row>
    <row r="37" spans="1:10" x14ac:dyDescent="0.35">
      <c r="A37" t="s">
        <v>57</v>
      </c>
      <c r="B37" t="s">
        <v>108</v>
      </c>
      <c r="C37" t="s">
        <v>114</v>
      </c>
      <c r="D37">
        <v>5</v>
      </c>
      <c r="E37">
        <v>4</v>
      </c>
      <c r="F37">
        <v>20</v>
      </c>
      <c r="G37" t="s">
        <v>124</v>
      </c>
      <c r="H37" t="s">
        <v>125</v>
      </c>
      <c r="I37" s="4">
        <v>46069</v>
      </c>
      <c r="J37" t="s">
        <v>128</v>
      </c>
    </row>
    <row r="38" spans="1:10" x14ac:dyDescent="0.35">
      <c r="A38" t="s">
        <v>58</v>
      </c>
      <c r="B38" t="s">
        <v>109</v>
      </c>
      <c r="C38" t="s">
        <v>113</v>
      </c>
      <c r="D38">
        <v>3</v>
      </c>
      <c r="E38">
        <v>2</v>
      </c>
      <c r="F38">
        <v>6</v>
      </c>
      <c r="G38" t="s">
        <v>121</v>
      </c>
      <c r="H38" t="s">
        <v>125</v>
      </c>
      <c r="I38" s="4">
        <v>46070</v>
      </c>
      <c r="J38" t="s">
        <v>126</v>
      </c>
    </row>
    <row r="39" spans="1:10" x14ac:dyDescent="0.35">
      <c r="A39" t="s">
        <v>59</v>
      </c>
      <c r="B39" t="s">
        <v>110</v>
      </c>
      <c r="C39" t="s">
        <v>113</v>
      </c>
      <c r="D39">
        <v>4</v>
      </c>
      <c r="E39">
        <v>4</v>
      </c>
      <c r="F39">
        <v>16</v>
      </c>
      <c r="G39" t="s">
        <v>122</v>
      </c>
      <c r="H39" t="s">
        <v>125</v>
      </c>
      <c r="I39" s="4">
        <v>46071</v>
      </c>
      <c r="J39" t="s">
        <v>126</v>
      </c>
    </row>
    <row r="40" spans="1:10" x14ac:dyDescent="0.35">
      <c r="A40" t="s">
        <v>60</v>
      </c>
      <c r="B40" t="s">
        <v>107</v>
      </c>
      <c r="C40" t="s">
        <v>114</v>
      </c>
      <c r="D40">
        <v>1</v>
      </c>
      <c r="E40">
        <v>1</v>
      </c>
      <c r="F40">
        <v>1</v>
      </c>
      <c r="G40" t="s">
        <v>124</v>
      </c>
      <c r="H40" t="s">
        <v>125</v>
      </c>
      <c r="I40" s="4">
        <v>46072</v>
      </c>
      <c r="J40" t="s">
        <v>126</v>
      </c>
    </row>
    <row r="41" spans="1:10" x14ac:dyDescent="0.35">
      <c r="A41" t="s">
        <v>61</v>
      </c>
      <c r="B41" t="s">
        <v>104</v>
      </c>
      <c r="C41" t="s">
        <v>116</v>
      </c>
      <c r="D41">
        <v>2</v>
      </c>
      <c r="E41">
        <v>5</v>
      </c>
      <c r="F41">
        <v>10</v>
      </c>
      <c r="G41" t="s">
        <v>122</v>
      </c>
      <c r="H41" t="s">
        <v>125</v>
      </c>
      <c r="I41" s="4">
        <v>46073</v>
      </c>
      <c r="J41" t="s">
        <v>127</v>
      </c>
    </row>
    <row r="42" spans="1:10" x14ac:dyDescent="0.35">
      <c r="A42" t="s">
        <v>62</v>
      </c>
      <c r="B42" t="s">
        <v>109</v>
      </c>
      <c r="C42" t="s">
        <v>112</v>
      </c>
      <c r="D42">
        <v>5</v>
      </c>
      <c r="E42">
        <v>2</v>
      </c>
      <c r="F42">
        <v>10</v>
      </c>
      <c r="G42" t="s">
        <v>123</v>
      </c>
      <c r="H42" t="s">
        <v>125</v>
      </c>
      <c r="I42" s="4">
        <v>46074</v>
      </c>
      <c r="J42" t="s">
        <v>126</v>
      </c>
    </row>
    <row r="43" spans="1:10" x14ac:dyDescent="0.35">
      <c r="A43" t="s">
        <v>63</v>
      </c>
      <c r="B43" t="s">
        <v>106</v>
      </c>
      <c r="C43" t="s">
        <v>120</v>
      </c>
      <c r="D43">
        <v>1</v>
      </c>
      <c r="E43">
        <v>4</v>
      </c>
      <c r="F43">
        <v>4</v>
      </c>
      <c r="G43" t="s">
        <v>123</v>
      </c>
      <c r="H43" t="s">
        <v>125</v>
      </c>
      <c r="I43" s="4">
        <v>46075</v>
      </c>
      <c r="J43" t="s">
        <v>128</v>
      </c>
    </row>
    <row r="44" spans="1:10" x14ac:dyDescent="0.35">
      <c r="A44" t="s">
        <v>64</v>
      </c>
      <c r="B44" t="s">
        <v>105</v>
      </c>
      <c r="C44" t="s">
        <v>116</v>
      </c>
      <c r="D44">
        <v>1</v>
      </c>
      <c r="E44">
        <v>1</v>
      </c>
      <c r="F44">
        <v>1</v>
      </c>
      <c r="G44" t="s">
        <v>124</v>
      </c>
      <c r="H44" t="s">
        <v>125</v>
      </c>
      <c r="I44" s="4">
        <v>46076</v>
      </c>
      <c r="J44" t="s">
        <v>128</v>
      </c>
    </row>
    <row r="45" spans="1:10" x14ac:dyDescent="0.35">
      <c r="A45" t="s">
        <v>65</v>
      </c>
      <c r="B45" t="s">
        <v>105</v>
      </c>
      <c r="C45" t="s">
        <v>119</v>
      </c>
      <c r="D45">
        <v>3</v>
      </c>
      <c r="E45">
        <v>2</v>
      </c>
      <c r="F45">
        <v>6</v>
      </c>
      <c r="G45" t="s">
        <v>122</v>
      </c>
      <c r="H45" t="s">
        <v>125</v>
      </c>
      <c r="I45" s="4">
        <v>46077</v>
      </c>
      <c r="J45" t="s">
        <v>127</v>
      </c>
    </row>
    <row r="46" spans="1:10" x14ac:dyDescent="0.35">
      <c r="A46" t="s">
        <v>66</v>
      </c>
      <c r="B46" t="s">
        <v>104</v>
      </c>
      <c r="C46" t="s">
        <v>117</v>
      </c>
      <c r="D46">
        <v>2</v>
      </c>
      <c r="E46">
        <v>1</v>
      </c>
      <c r="F46">
        <v>2</v>
      </c>
      <c r="G46" t="s">
        <v>124</v>
      </c>
      <c r="H46" t="s">
        <v>125</v>
      </c>
      <c r="I46" s="4">
        <v>46078</v>
      </c>
      <c r="J46" t="s">
        <v>127</v>
      </c>
    </row>
    <row r="47" spans="1:10" x14ac:dyDescent="0.35">
      <c r="A47" t="s">
        <v>67</v>
      </c>
      <c r="B47" t="s">
        <v>102</v>
      </c>
      <c r="C47" t="s">
        <v>115</v>
      </c>
      <c r="D47">
        <v>3</v>
      </c>
      <c r="E47">
        <v>3</v>
      </c>
      <c r="F47">
        <v>9</v>
      </c>
      <c r="G47" t="s">
        <v>124</v>
      </c>
      <c r="H47" t="s">
        <v>125</v>
      </c>
      <c r="I47" s="4">
        <v>46079</v>
      </c>
      <c r="J47" t="s">
        <v>126</v>
      </c>
    </row>
    <row r="48" spans="1:10" x14ac:dyDescent="0.35">
      <c r="A48" t="s">
        <v>68</v>
      </c>
      <c r="B48" t="s">
        <v>105</v>
      </c>
      <c r="C48" t="s">
        <v>120</v>
      </c>
      <c r="D48">
        <v>2</v>
      </c>
      <c r="E48">
        <v>1</v>
      </c>
      <c r="F48">
        <v>2</v>
      </c>
      <c r="G48" t="s">
        <v>122</v>
      </c>
      <c r="H48" t="s">
        <v>125</v>
      </c>
      <c r="I48" s="4">
        <v>46080</v>
      </c>
      <c r="J48" t="s">
        <v>128</v>
      </c>
    </row>
    <row r="49" spans="1:10" x14ac:dyDescent="0.35">
      <c r="A49" t="s">
        <v>69</v>
      </c>
      <c r="B49" t="s">
        <v>110</v>
      </c>
      <c r="C49" t="s">
        <v>119</v>
      </c>
      <c r="D49">
        <v>1</v>
      </c>
      <c r="E49">
        <v>2</v>
      </c>
      <c r="F49">
        <v>2</v>
      </c>
      <c r="G49" t="s">
        <v>124</v>
      </c>
      <c r="H49" t="s">
        <v>125</v>
      </c>
      <c r="I49" s="4">
        <v>46081</v>
      </c>
      <c r="J49" t="s">
        <v>126</v>
      </c>
    </row>
    <row r="50" spans="1:10" x14ac:dyDescent="0.35">
      <c r="A50" t="s">
        <v>70</v>
      </c>
      <c r="B50" t="s">
        <v>107</v>
      </c>
      <c r="C50" t="s">
        <v>113</v>
      </c>
      <c r="D50">
        <v>1</v>
      </c>
      <c r="E50">
        <v>4</v>
      </c>
      <c r="F50">
        <v>4</v>
      </c>
      <c r="G50" t="s">
        <v>121</v>
      </c>
      <c r="H50" t="s">
        <v>125</v>
      </c>
      <c r="I50" s="4">
        <v>46082</v>
      </c>
      <c r="J50" t="s">
        <v>127</v>
      </c>
    </row>
    <row r="51" spans="1:10" x14ac:dyDescent="0.35">
      <c r="A51" t="s">
        <v>71</v>
      </c>
      <c r="B51" t="s">
        <v>107</v>
      </c>
      <c r="C51" t="s">
        <v>111</v>
      </c>
      <c r="D51">
        <v>3</v>
      </c>
      <c r="E51">
        <v>4</v>
      </c>
      <c r="F51">
        <v>12</v>
      </c>
      <c r="G51" t="s">
        <v>123</v>
      </c>
      <c r="H51" t="s">
        <v>125</v>
      </c>
      <c r="I51" s="4">
        <v>46083</v>
      </c>
      <c r="J51" t="s">
        <v>127</v>
      </c>
    </row>
    <row r="52" spans="1:10" x14ac:dyDescent="0.35">
      <c r="A52" t="s">
        <v>72</v>
      </c>
      <c r="B52" t="s">
        <v>107</v>
      </c>
      <c r="C52" t="s">
        <v>111</v>
      </c>
      <c r="D52">
        <v>4</v>
      </c>
      <c r="E52">
        <v>3</v>
      </c>
      <c r="F52">
        <v>12</v>
      </c>
      <c r="G52" t="s">
        <v>124</v>
      </c>
      <c r="H52" t="s">
        <v>125</v>
      </c>
      <c r="I52" s="4">
        <v>46084</v>
      </c>
      <c r="J52" t="s">
        <v>126</v>
      </c>
    </row>
    <row r="53" spans="1:10" x14ac:dyDescent="0.35">
      <c r="A53" t="s">
        <v>73</v>
      </c>
      <c r="B53" t="s">
        <v>104</v>
      </c>
      <c r="C53" t="s">
        <v>111</v>
      </c>
      <c r="D53">
        <v>1</v>
      </c>
      <c r="E53">
        <v>4</v>
      </c>
      <c r="F53">
        <v>4</v>
      </c>
      <c r="G53" t="s">
        <v>122</v>
      </c>
      <c r="H53" t="s">
        <v>125</v>
      </c>
      <c r="I53" s="4">
        <v>46085</v>
      </c>
      <c r="J53" t="s">
        <v>127</v>
      </c>
    </row>
    <row r="54" spans="1:10" x14ac:dyDescent="0.35">
      <c r="A54" t="s">
        <v>74</v>
      </c>
      <c r="B54" t="s">
        <v>103</v>
      </c>
      <c r="C54" t="s">
        <v>115</v>
      </c>
      <c r="D54">
        <v>2</v>
      </c>
      <c r="E54">
        <v>2</v>
      </c>
      <c r="F54">
        <v>4</v>
      </c>
      <c r="G54" t="s">
        <v>123</v>
      </c>
      <c r="H54" t="s">
        <v>125</v>
      </c>
      <c r="I54" s="4">
        <v>46086</v>
      </c>
      <c r="J54" t="s">
        <v>126</v>
      </c>
    </row>
    <row r="55" spans="1:10" x14ac:dyDescent="0.35">
      <c r="A55" t="s">
        <v>75</v>
      </c>
      <c r="B55" t="s">
        <v>104</v>
      </c>
      <c r="C55" t="s">
        <v>119</v>
      </c>
      <c r="D55">
        <v>5</v>
      </c>
      <c r="E55">
        <v>3</v>
      </c>
      <c r="F55">
        <v>15</v>
      </c>
      <c r="G55" t="s">
        <v>123</v>
      </c>
      <c r="H55" t="s">
        <v>125</v>
      </c>
      <c r="I55" s="4">
        <v>46087</v>
      </c>
      <c r="J55" t="s">
        <v>127</v>
      </c>
    </row>
    <row r="56" spans="1:10" x14ac:dyDescent="0.35">
      <c r="A56" t="s">
        <v>76</v>
      </c>
      <c r="B56" t="s">
        <v>107</v>
      </c>
      <c r="C56" t="s">
        <v>114</v>
      </c>
      <c r="D56">
        <v>4</v>
      </c>
      <c r="E56">
        <v>3</v>
      </c>
      <c r="F56">
        <v>12</v>
      </c>
      <c r="G56" t="s">
        <v>124</v>
      </c>
      <c r="H56" t="s">
        <v>125</v>
      </c>
      <c r="I56" s="4">
        <v>46088</v>
      </c>
      <c r="J56" t="s">
        <v>127</v>
      </c>
    </row>
    <row r="57" spans="1:10" x14ac:dyDescent="0.35">
      <c r="A57" t="s">
        <v>77</v>
      </c>
      <c r="B57" t="s">
        <v>110</v>
      </c>
      <c r="C57" t="s">
        <v>118</v>
      </c>
      <c r="D57">
        <v>1</v>
      </c>
      <c r="E57">
        <v>2</v>
      </c>
      <c r="F57">
        <v>2</v>
      </c>
      <c r="G57" t="s">
        <v>121</v>
      </c>
      <c r="H57" t="s">
        <v>125</v>
      </c>
      <c r="I57" s="4">
        <v>46089</v>
      </c>
      <c r="J57" t="s">
        <v>127</v>
      </c>
    </row>
    <row r="58" spans="1:10" x14ac:dyDescent="0.35">
      <c r="A58" t="s">
        <v>78</v>
      </c>
      <c r="B58" t="s">
        <v>110</v>
      </c>
      <c r="C58" t="s">
        <v>115</v>
      </c>
      <c r="D58">
        <v>3</v>
      </c>
      <c r="E58">
        <v>5</v>
      </c>
      <c r="F58">
        <v>15</v>
      </c>
      <c r="G58" t="s">
        <v>122</v>
      </c>
      <c r="H58" t="s">
        <v>125</v>
      </c>
      <c r="I58" s="4">
        <v>46090</v>
      </c>
      <c r="J58" t="s">
        <v>128</v>
      </c>
    </row>
    <row r="59" spans="1:10" x14ac:dyDescent="0.35">
      <c r="A59" t="s">
        <v>79</v>
      </c>
      <c r="B59" t="s">
        <v>110</v>
      </c>
      <c r="C59" t="s">
        <v>112</v>
      </c>
      <c r="D59">
        <v>5</v>
      </c>
      <c r="E59">
        <v>3</v>
      </c>
      <c r="F59">
        <v>15</v>
      </c>
      <c r="G59" t="s">
        <v>122</v>
      </c>
      <c r="H59" t="s">
        <v>125</v>
      </c>
      <c r="I59" s="4">
        <v>46091</v>
      </c>
      <c r="J59" t="s">
        <v>128</v>
      </c>
    </row>
    <row r="60" spans="1:10" x14ac:dyDescent="0.35">
      <c r="A60" t="s">
        <v>80</v>
      </c>
      <c r="B60" t="s">
        <v>105</v>
      </c>
      <c r="C60" t="s">
        <v>120</v>
      </c>
      <c r="D60">
        <v>5</v>
      </c>
      <c r="E60">
        <v>1</v>
      </c>
      <c r="F60">
        <v>5</v>
      </c>
      <c r="G60" t="s">
        <v>124</v>
      </c>
      <c r="H60" t="s">
        <v>125</v>
      </c>
      <c r="I60" s="4">
        <v>46092</v>
      </c>
      <c r="J60" t="s">
        <v>128</v>
      </c>
    </row>
    <row r="61" spans="1:10" x14ac:dyDescent="0.35">
      <c r="A61" t="s">
        <v>81</v>
      </c>
      <c r="B61" t="s">
        <v>108</v>
      </c>
      <c r="C61" t="s">
        <v>115</v>
      </c>
      <c r="D61">
        <v>1</v>
      </c>
      <c r="E61">
        <v>1</v>
      </c>
      <c r="F61">
        <v>1</v>
      </c>
      <c r="G61" t="s">
        <v>123</v>
      </c>
      <c r="H61" t="s">
        <v>125</v>
      </c>
      <c r="I61" s="4">
        <v>46093</v>
      </c>
      <c r="J61" t="s">
        <v>126</v>
      </c>
    </row>
    <row r="62" spans="1:10" x14ac:dyDescent="0.35">
      <c r="A62" t="s">
        <v>82</v>
      </c>
      <c r="B62" t="s">
        <v>103</v>
      </c>
      <c r="C62" t="s">
        <v>113</v>
      </c>
      <c r="D62">
        <v>3</v>
      </c>
      <c r="E62">
        <v>2</v>
      </c>
      <c r="F62">
        <v>6</v>
      </c>
      <c r="G62" t="s">
        <v>121</v>
      </c>
      <c r="H62" t="s">
        <v>125</v>
      </c>
      <c r="I62" s="4">
        <v>46094</v>
      </c>
      <c r="J62" t="s">
        <v>127</v>
      </c>
    </row>
    <row r="63" spans="1:10" x14ac:dyDescent="0.35">
      <c r="A63" t="s">
        <v>83</v>
      </c>
      <c r="B63" t="s">
        <v>104</v>
      </c>
      <c r="C63" t="s">
        <v>118</v>
      </c>
      <c r="D63">
        <v>1</v>
      </c>
      <c r="E63">
        <v>5</v>
      </c>
      <c r="F63">
        <v>5</v>
      </c>
      <c r="G63" t="s">
        <v>122</v>
      </c>
      <c r="H63" t="s">
        <v>125</v>
      </c>
      <c r="I63" s="4">
        <v>46095</v>
      </c>
      <c r="J63" t="s">
        <v>126</v>
      </c>
    </row>
    <row r="64" spans="1:10" x14ac:dyDescent="0.35">
      <c r="A64" t="s">
        <v>84</v>
      </c>
      <c r="B64" t="s">
        <v>105</v>
      </c>
      <c r="C64" t="s">
        <v>116</v>
      </c>
      <c r="D64">
        <v>4</v>
      </c>
      <c r="E64">
        <v>3</v>
      </c>
      <c r="F64">
        <v>12</v>
      </c>
      <c r="G64" t="s">
        <v>124</v>
      </c>
      <c r="H64" t="s">
        <v>125</v>
      </c>
      <c r="I64" s="4">
        <v>46096</v>
      </c>
      <c r="J64" t="s">
        <v>128</v>
      </c>
    </row>
    <row r="65" spans="1:10" x14ac:dyDescent="0.35">
      <c r="A65" t="s">
        <v>85</v>
      </c>
      <c r="B65" t="s">
        <v>103</v>
      </c>
      <c r="C65" t="s">
        <v>116</v>
      </c>
      <c r="D65">
        <v>2</v>
      </c>
      <c r="E65">
        <v>1</v>
      </c>
      <c r="F65">
        <v>2</v>
      </c>
      <c r="G65" t="s">
        <v>124</v>
      </c>
      <c r="H65" t="s">
        <v>125</v>
      </c>
      <c r="I65" s="4">
        <v>46097</v>
      </c>
      <c r="J65" t="s">
        <v>126</v>
      </c>
    </row>
    <row r="66" spans="1:10" x14ac:dyDescent="0.35">
      <c r="A66" t="s">
        <v>86</v>
      </c>
      <c r="B66" t="s">
        <v>104</v>
      </c>
      <c r="C66" t="s">
        <v>112</v>
      </c>
      <c r="D66">
        <v>5</v>
      </c>
      <c r="E66">
        <v>5</v>
      </c>
      <c r="F66">
        <v>25</v>
      </c>
      <c r="G66" t="s">
        <v>124</v>
      </c>
      <c r="H66" t="s">
        <v>125</v>
      </c>
      <c r="I66" s="4">
        <v>46098</v>
      </c>
      <c r="J66" t="s">
        <v>126</v>
      </c>
    </row>
    <row r="67" spans="1:10" x14ac:dyDescent="0.35">
      <c r="A67" t="s">
        <v>87</v>
      </c>
      <c r="B67" t="s">
        <v>106</v>
      </c>
      <c r="C67" t="s">
        <v>120</v>
      </c>
      <c r="D67">
        <v>2</v>
      </c>
      <c r="E67">
        <v>5</v>
      </c>
      <c r="F67">
        <v>10</v>
      </c>
      <c r="G67" t="s">
        <v>124</v>
      </c>
      <c r="H67" t="s">
        <v>125</v>
      </c>
      <c r="I67" s="4">
        <v>46099</v>
      </c>
      <c r="J67" t="s">
        <v>126</v>
      </c>
    </row>
    <row r="68" spans="1:10" x14ac:dyDescent="0.35">
      <c r="A68" t="s">
        <v>88</v>
      </c>
      <c r="B68" t="s">
        <v>109</v>
      </c>
      <c r="C68" t="s">
        <v>119</v>
      </c>
      <c r="D68">
        <v>1</v>
      </c>
      <c r="E68">
        <v>3</v>
      </c>
      <c r="F68">
        <v>3</v>
      </c>
      <c r="G68" t="s">
        <v>123</v>
      </c>
      <c r="H68" t="s">
        <v>125</v>
      </c>
      <c r="I68" s="4">
        <v>46100</v>
      </c>
      <c r="J68" t="s">
        <v>126</v>
      </c>
    </row>
    <row r="69" spans="1:10" x14ac:dyDescent="0.35">
      <c r="A69" t="s">
        <v>89</v>
      </c>
      <c r="B69" t="s">
        <v>107</v>
      </c>
      <c r="C69" t="s">
        <v>115</v>
      </c>
      <c r="D69">
        <v>3</v>
      </c>
      <c r="E69">
        <v>3</v>
      </c>
      <c r="F69">
        <v>9</v>
      </c>
      <c r="G69" t="s">
        <v>122</v>
      </c>
      <c r="H69" t="s">
        <v>125</v>
      </c>
      <c r="I69" s="4">
        <v>46101</v>
      </c>
      <c r="J69" t="s">
        <v>128</v>
      </c>
    </row>
    <row r="70" spans="1:10" x14ac:dyDescent="0.35">
      <c r="A70" t="s">
        <v>90</v>
      </c>
      <c r="B70" t="s">
        <v>109</v>
      </c>
      <c r="C70" t="s">
        <v>113</v>
      </c>
      <c r="D70">
        <v>5</v>
      </c>
      <c r="E70">
        <v>5</v>
      </c>
      <c r="F70">
        <v>25</v>
      </c>
      <c r="G70" t="s">
        <v>122</v>
      </c>
      <c r="H70" t="s">
        <v>125</v>
      </c>
      <c r="I70" s="4">
        <v>46102</v>
      </c>
      <c r="J70" t="s">
        <v>128</v>
      </c>
    </row>
    <row r="71" spans="1:10" x14ac:dyDescent="0.35">
      <c r="A71" t="s">
        <v>91</v>
      </c>
      <c r="B71" t="s">
        <v>105</v>
      </c>
      <c r="C71" t="s">
        <v>115</v>
      </c>
      <c r="D71">
        <v>2</v>
      </c>
      <c r="E71">
        <v>1</v>
      </c>
      <c r="F71">
        <v>2</v>
      </c>
      <c r="G71" t="s">
        <v>124</v>
      </c>
      <c r="H71" t="s">
        <v>125</v>
      </c>
      <c r="I71" s="4">
        <v>46103</v>
      </c>
      <c r="J71" t="s">
        <v>128</v>
      </c>
    </row>
    <row r="72" spans="1:10" x14ac:dyDescent="0.35">
      <c r="A72" t="s">
        <v>92</v>
      </c>
      <c r="B72" t="s">
        <v>105</v>
      </c>
      <c r="C72" t="s">
        <v>113</v>
      </c>
      <c r="D72">
        <v>1</v>
      </c>
      <c r="E72">
        <v>5</v>
      </c>
      <c r="F72">
        <v>5</v>
      </c>
      <c r="G72" t="s">
        <v>124</v>
      </c>
      <c r="H72" t="s">
        <v>125</v>
      </c>
      <c r="I72" s="4">
        <v>46104</v>
      </c>
      <c r="J72" t="s">
        <v>128</v>
      </c>
    </row>
    <row r="73" spans="1:10" x14ac:dyDescent="0.35">
      <c r="A73" t="s">
        <v>93</v>
      </c>
      <c r="B73" t="s">
        <v>102</v>
      </c>
      <c r="C73" t="s">
        <v>118</v>
      </c>
      <c r="D73">
        <v>1</v>
      </c>
      <c r="E73">
        <v>1</v>
      </c>
      <c r="F73">
        <v>1</v>
      </c>
      <c r="G73" t="s">
        <v>123</v>
      </c>
      <c r="H73" t="s">
        <v>125</v>
      </c>
      <c r="I73" s="4">
        <v>46105</v>
      </c>
      <c r="J73" t="s">
        <v>127</v>
      </c>
    </row>
    <row r="74" spans="1:10" x14ac:dyDescent="0.35">
      <c r="A74" t="s">
        <v>94</v>
      </c>
      <c r="B74" t="s">
        <v>109</v>
      </c>
      <c r="C74" t="s">
        <v>118</v>
      </c>
      <c r="D74">
        <v>2</v>
      </c>
      <c r="E74">
        <v>5</v>
      </c>
      <c r="F74">
        <v>10</v>
      </c>
      <c r="G74" t="s">
        <v>122</v>
      </c>
      <c r="H74" t="s">
        <v>125</v>
      </c>
      <c r="I74" s="4">
        <v>46106</v>
      </c>
      <c r="J74" t="s">
        <v>128</v>
      </c>
    </row>
    <row r="75" spans="1:10" x14ac:dyDescent="0.35">
      <c r="A75" t="s">
        <v>95</v>
      </c>
      <c r="B75" t="s">
        <v>107</v>
      </c>
      <c r="C75" t="s">
        <v>117</v>
      </c>
      <c r="D75">
        <v>3</v>
      </c>
      <c r="E75">
        <v>1</v>
      </c>
      <c r="F75">
        <v>3</v>
      </c>
      <c r="G75" t="s">
        <v>121</v>
      </c>
      <c r="H75" t="s">
        <v>125</v>
      </c>
      <c r="I75" s="4">
        <v>46107</v>
      </c>
      <c r="J75" t="s">
        <v>127</v>
      </c>
    </row>
    <row r="76" spans="1:10" x14ac:dyDescent="0.35">
      <c r="A76" t="s">
        <v>96</v>
      </c>
      <c r="B76" t="s">
        <v>105</v>
      </c>
      <c r="C76" t="s">
        <v>118</v>
      </c>
      <c r="D76">
        <v>5</v>
      </c>
      <c r="E76">
        <v>1</v>
      </c>
      <c r="F76">
        <v>5</v>
      </c>
      <c r="G76" t="s">
        <v>122</v>
      </c>
      <c r="H76" t="s">
        <v>125</v>
      </c>
      <c r="I76" s="4">
        <v>46108</v>
      </c>
      <c r="J76" t="s">
        <v>126</v>
      </c>
    </row>
    <row r="77" spans="1:10" x14ac:dyDescent="0.35">
      <c r="A77" t="s">
        <v>97</v>
      </c>
      <c r="B77" t="s">
        <v>109</v>
      </c>
      <c r="C77" t="s">
        <v>111</v>
      </c>
      <c r="D77">
        <v>5</v>
      </c>
      <c r="E77">
        <v>2</v>
      </c>
      <c r="F77">
        <v>10</v>
      </c>
      <c r="G77" t="s">
        <v>121</v>
      </c>
      <c r="H77" t="s">
        <v>125</v>
      </c>
      <c r="I77" s="4">
        <v>46109</v>
      </c>
      <c r="J77" t="s">
        <v>126</v>
      </c>
    </row>
    <row r="78" spans="1:10" x14ac:dyDescent="0.35">
      <c r="A78" t="s">
        <v>98</v>
      </c>
      <c r="B78" t="s">
        <v>104</v>
      </c>
      <c r="C78" t="s">
        <v>113</v>
      </c>
      <c r="D78">
        <v>1</v>
      </c>
      <c r="E78">
        <v>2</v>
      </c>
      <c r="F78">
        <v>2</v>
      </c>
      <c r="G78" t="s">
        <v>123</v>
      </c>
      <c r="H78" t="s">
        <v>125</v>
      </c>
      <c r="I78" s="4">
        <v>46110</v>
      </c>
      <c r="J78" t="s">
        <v>128</v>
      </c>
    </row>
    <row r="79" spans="1:10" x14ac:dyDescent="0.35">
      <c r="A79" t="s">
        <v>99</v>
      </c>
      <c r="B79" t="s">
        <v>108</v>
      </c>
      <c r="C79" t="s">
        <v>113</v>
      </c>
      <c r="D79">
        <v>5</v>
      </c>
      <c r="E79">
        <v>3</v>
      </c>
      <c r="F79">
        <v>15</v>
      </c>
      <c r="G79" t="s">
        <v>121</v>
      </c>
      <c r="H79" t="s">
        <v>125</v>
      </c>
      <c r="I79" s="4">
        <v>46111</v>
      </c>
      <c r="J79" t="s">
        <v>126</v>
      </c>
    </row>
    <row r="80" spans="1:10" x14ac:dyDescent="0.35">
      <c r="A80" t="s">
        <v>100</v>
      </c>
      <c r="B80" t="s">
        <v>110</v>
      </c>
      <c r="C80" t="s">
        <v>117</v>
      </c>
      <c r="D80">
        <v>5</v>
      </c>
      <c r="E80">
        <v>5</v>
      </c>
      <c r="F80">
        <v>25</v>
      </c>
      <c r="G80" t="s">
        <v>123</v>
      </c>
      <c r="H80" t="s">
        <v>125</v>
      </c>
      <c r="I80" s="4">
        <v>46112</v>
      </c>
      <c r="J80" t="s">
        <v>126</v>
      </c>
    </row>
    <row r="81" spans="1:10" x14ac:dyDescent="0.35">
      <c r="A81" t="s">
        <v>101</v>
      </c>
      <c r="B81" t="s">
        <v>110</v>
      </c>
      <c r="C81" t="s">
        <v>117</v>
      </c>
      <c r="D81">
        <v>2</v>
      </c>
      <c r="E81">
        <v>5</v>
      </c>
      <c r="F81">
        <v>10</v>
      </c>
      <c r="G81" t="s">
        <v>122</v>
      </c>
      <c r="H81" t="s">
        <v>125</v>
      </c>
      <c r="I81" s="4">
        <v>46113</v>
      </c>
      <c r="J81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selection activeCell="G42" sqref="G42"/>
    </sheetView>
  </sheetViews>
  <sheetFormatPr defaultRowHeight="14.5" x14ac:dyDescent="0.35"/>
  <cols>
    <col min="2" max="2" width="10.453125" bestFit="1" customWidth="1"/>
    <col min="3" max="3" width="32.54296875" customWidth="1"/>
    <col min="4" max="4" width="50.90625" customWidth="1"/>
    <col min="5" max="5" width="29.81640625" customWidth="1"/>
    <col min="7" max="7" width="28.6328125" customWidth="1"/>
    <col min="8" max="8" width="24.7265625" customWidth="1"/>
  </cols>
  <sheetData>
    <row r="1" spans="1:8" x14ac:dyDescent="0.35">
      <c r="A1" t="s">
        <v>129</v>
      </c>
      <c r="B1" t="s">
        <v>130</v>
      </c>
      <c r="C1" t="s">
        <v>131</v>
      </c>
      <c r="D1" t="s">
        <v>14</v>
      </c>
      <c r="E1" t="s">
        <v>132</v>
      </c>
      <c r="F1" t="s">
        <v>133</v>
      </c>
      <c r="G1" t="s">
        <v>18</v>
      </c>
      <c r="H1" t="s">
        <v>21</v>
      </c>
    </row>
    <row r="2" spans="1:8" x14ac:dyDescent="0.35">
      <c r="A2" t="s">
        <v>134</v>
      </c>
      <c r="B2" s="4">
        <v>45984.767464467594</v>
      </c>
      <c r="C2" t="s">
        <v>194</v>
      </c>
      <c r="D2" t="s">
        <v>198</v>
      </c>
      <c r="E2" t="s">
        <v>205</v>
      </c>
      <c r="F2" t="s">
        <v>206</v>
      </c>
      <c r="G2" t="s">
        <v>123</v>
      </c>
      <c r="H2" t="s">
        <v>244</v>
      </c>
    </row>
    <row r="3" spans="1:8" x14ac:dyDescent="0.35">
      <c r="A3" t="s">
        <v>135</v>
      </c>
      <c r="B3" s="4">
        <v>45985</v>
      </c>
      <c r="C3" t="s">
        <v>195</v>
      </c>
      <c r="D3" t="s">
        <v>199</v>
      </c>
      <c r="E3" t="s">
        <v>205</v>
      </c>
      <c r="F3" t="s">
        <v>207</v>
      </c>
      <c r="G3" t="s">
        <v>123</v>
      </c>
      <c r="H3" t="s">
        <v>127</v>
      </c>
    </row>
    <row r="4" spans="1:8" x14ac:dyDescent="0.35">
      <c r="A4" t="s">
        <v>136</v>
      </c>
      <c r="B4" s="4">
        <v>45986</v>
      </c>
      <c r="C4" t="s">
        <v>195</v>
      </c>
      <c r="D4" t="s">
        <v>200</v>
      </c>
      <c r="E4" t="s">
        <v>205</v>
      </c>
      <c r="F4" t="s">
        <v>208</v>
      </c>
      <c r="G4" t="s">
        <v>122</v>
      </c>
      <c r="H4" t="s">
        <v>127</v>
      </c>
    </row>
    <row r="5" spans="1:8" x14ac:dyDescent="0.35">
      <c r="A5" t="s">
        <v>137</v>
      </c>
      <c r="B5" s="4">
        <v>45987</v>
      </c>
      <c r="C5" t="s">
        <v>196</v>
      </c>
      <c r="D5" t="s">
        <v>201</v>
      </c>
      <c r="E5" t="s">
        <v>205</v>
      </c>
      <c r="F5" t="s">
        <v>209</v>
      </c>
      <c r="G5" t="s">
        <v>123</v>
      </c>
      <c r="H5" t="s">
        <v>244</v>
      </c>
    </row>
    <row r="6" spans="1:8" x14ac:dyDescent="0.35">
      <c r="A6" t="s">
        <v>138</v>
      </c>
      <c r="B6" s="4">
        <v>45988</v>
      </c>
      <c r="C6" t="s">
        <v>194</v>
      </c>
      <c r="D6" t="s">
        <v>200</v>
      </c>
      <c r="E6" t="s">
        <v>205</v>
      </c>
      <c r="G6" t="s">
        <v>124</v>
      </c>
      <c r="H6" t="s">
        <v>244</v>
      </c>
    </row>
    <row r="7" spans="1:8" x14ac:dyDescent="0.35">
      <c r="A7" t="s">
        <v>139</v>
      </c>
      <c r="B7" s="4">
        <v>45989</v>
      </c>
      <c r="C7" t="s">
        <v>194</v>
      </c>
      <c r="D7" t="s">
        <v>198</v>
      </c>
      <c r="E7" t="s">
        <v>205</v>
      </c>
      <c r="F7" t="s">
        <v>210</v>
      </c>
      <c r="G7" t="s">
        <v>123</v>
      </c>
      <c r="H7" t="s">
        <v>126</v>
      </c>
    </row>
    <row r="8" spans="1:8" x14ac:dyDescent="0.35">
      <c r="A8" t="s">
        <v>140</v>
      </c>
      <c r="B8" s="4">
        <v>45990</v>
      </c>
      <c r="C8" t="s">
        <v>195</v>
      </c>
      <c r="D8" t="s">
        <v>200</v>
      </c>
      <c r="E8" t="s">
        <v>205</v>
      </c>
      <c r="F8" t="s">
        <v>211</v>
      </c>
      <c r="G8" t="s">
        <v>123</v>
      </c>
      <c r="H8" t="s">
        <v>244</v>
      </c>
    </row>
    <row r="9" spans="1:8" x14ac:dyDescent="0.35">
      <c r="A9" t="s">
        <v>141</v>
      </c>
      <c r="B9" s="4">
        <v>45991</v>
      </c>
      <c r="C9" t="s">
        <v>195</v>
      </c>
      <c r="D9" t="s">
        <v>202</v>
      </c>
      <c r="E9" t="s">
        <v>205</v>
      </c>
      <c r="F9" t="s">
        <v>212</v>
      </c>
      <c r="G9" t="s">
        <v>124</v>
      </c>
      <c r="H9" t="s">
        <v>244</v>
      </c>
    </row>
    <row r="10" spans="1:8" x14ac:dyDescent="0.35">
      <c r="A10" t="s">
        <v>142</v>
      </c>
      <c r="B10" s="4">
        <v>45992</v>
      </c>
      <c r="C10" t="s">
        <v>196</v>
      </c>
      <c r="D10" t="s">
        <v>203</v>
      </c>
      <c r="E10" t="s">
        <v>205</v>
      </c>
      <c r="F10" t="s">
        <v>213</v>
      </c>
      <c r="G10" t="s">
        <v>123</v>
      </c>
      <c r="H10" t="s">
        <v>126</v>
      </c>
    </row>
    <row r="11" spans="1:8" x14ac:dyDescent="0.35">
      <c r="A11" t="s">
        <v>143</v>
      </c>
      <c r="B11" s="4">
        <v>45993</v>
      </c>
      <c r="C11" t="s">
        <v>196</v>
      </c>
      <c r="D11" t="s">
        <v>201</v>
      </c>
      <c r="E11" t="s">
        <v>205</v>
      </c>
      <c r="F11" t="s">
        <v>214</v>
      </c>
      <c r="G11" t="s">
        <v>124</v>
      </c>
      <c r="H11" t="s">
        <v>127</v>
      </c>
    </row>
    <row r="12" spans="1:8" x14ac:dyDescent="0.35">
      <c r="A12" t="s">
        <v>144</v>
      </c>
      <c r="B12" s="4">
        <v>45994</v>
      </c>
      <c r="C12" t="s">
        <v>196</v>
      </c>
      <c r="D12" t="s">
        <v>198</v>
      </c>
      <c r="E12" t="s">
        <v>205</v>
      </c>
      <c r="F12" t="s">
        <v>215</v>
      </c>
      <c r="G12" t="s">
        <v>122</v>
      </c>
      <c r="H12" t="s">
        <v>126</v>
      </c>
    </row>
    <row r="13" spans="1:8" x14ac:dyDescent="0.35">
      <c r="A13" t="s">
        <v>145</v>
      </c>
      <c r="B13" s="4">
        <v>45995</v>
      </c>
      <c r="C13" t="s">
        <v>195</v>
      </c>
      <c r="D13" t="s">
        <v>200</v>
      </c>
      <c r="E13" t="s">
        <v>205</v>
      </c>
      <c r="G13" t="s">
        <v>122</v>
      </c>
      <c r="H13" t="s">
        <v>127</v>
      </c>
    </row>
    <row r="14" spans="1:8" x14ac:dyDescent="0.35">
      <c r="A14" t="s">
        <v>146</v>
      </c>
      <c r="B14" s="4">
        <v>45996</v>
      </c>
      <c r="C14" t="s">
        <v>196</v>
      </c>
      <c r="D14" t="s">
        <v>199</v>
      </c>
      <c r="E14" t="s">
        <v>205</v>
      </c>
      <c r="G14" t="s">
        <v>122</v>
      </c>
      <c r="H14" t="s">
        <v>126</v>
      </c>
    </row>
    <row r="15" spans="1:8" x14ac:dyDescent="0.35">
      <c r="A15" t="s">
        <v>147</v>
      </c>
      <c r="B15" s="4">
        <v>45997</v>
      </c>
      <c r="C15" t="s">
        <v>194</v>
      </c>
      <c r="D15" t="s">
        <v>201</v>
      </c>
      <c r="E15" t="s">
        <v>205</v>
      </c>
      <c r="F15" t="s">
        <v>216</v>
      </c>
      <c r="G15" t="s">
        <v>121</v>
      </c>
      <c r="H15" t="s">
        <v>127</v>
      </c>
    </row>
    <row r="16" spans="1:8" x14ac:dyDescent="0.35">
      <c r="A16" t="s">
        <v>148</v>
      </c>
      <c r="B16" s="4">
        <v>45998</v>
      </c>
      <c r="C16" t="s">
        <v>197</v>
      </c>
      <c r="D16" t="s">
        <v>202</v>
      </c>
      <c r="E16" t="s">
        <v>205</v>
      </c>
      <c r="F16" t="s">
        <v>217</v>
      </c>
      <c r="G16" t="s">
        <v>124</v>
      </c>
      <c r="H16" t="s">
        <v>127</v>
      </c>
    </row>
    <row r="17" spans="1:8" x14ac:dyDescent="0.35">
      <c r="A17" t="s">
        <v>149</v>
      </c>
      <c r="B17" s="4">
        <v>45999</v>
      </c>
      <c r="C17" t="s">
        <v>197</v>
      </c>
      <c r="D17" t="s">
        <v>203</v>
      </c>
      <c r="E17" t="s">
        <v>205</v>
      </c>
      <c r="F17" t="s">
        <v>218</v>
      </c>
      <c r="G17" t="s">
        <v>121</v>
      </c>
      <c r="H17" t="s">
        <v>127</v>
      </c>
    </row>
    <row r="18" spans="1:8" x14ac:dyDescent="0.35">
      <c r="A18" t="s">
        <v>150</v>
      </c>
      <c r="B18" s="4">
        <v>46000</v>
      </c>
      <c r="C18" t="s">
        <v>195</v>
      </c>
      <c r="D18" t="s">
        <v>204</v>
      </c>
      <c r="E18" t="s">
        <v>205</v>
      </c>
      <c r="F18" t="s">
        <v>219</v>
      </c>
      <c r="G18" t="s">
        <v>124</v>
      </c>
      <c r="H18" t="s">
        <v>127</v>
      </c>
    </row>
    <row r="19" spans="1:8" x14ac:dyDescent="0.35">
      <c r="A19" t="s">
        <v>151</v>
      </c>
      <c r="B19" s="4">
        <v>46001</v>
      </c>
      <c r="C19" t="s">
        <v>195</v>
      </c>
      <c r="D19" t="s">
        <v>204</v>
      </c>
      <c r="E19" t="s">
        <v>205</v>
      </c>
      <c r="F19" t="s">
        <v>220</v>
      </c>
      <c r="G19" t="s">
        <v>123</v>
      </c>
      <c r="H19" t="s">
        <v>127</v>
      </c>
    </row>
    <row r="20" spans="1:8" x14ac:dyDescent="0.35">
      <c r="A20" t="s">
        <v>152</v>
      </c>
      <c r="B20" s="4">
        <v>46002</v>
      </c>
      <c r="C20" t="s">
        <v>194</v>
      </c>
      <c r="D20" t="s">
        <v>204</v>
      </c>
      <c r="E20" t="s">
        <v>205</v>
      </c>
      <c r="G20" t="s">
        <v>122</v>
      </c>
      <c r="H20" t="s">
        <v>127</v>
      </c>
    </row>
    <row r="21" spans="1:8" x14ac:dyDescent="0.35">
      <c r="A21" t="s">
        <v>153</v>
      </c>
      <c r="B21" s="4">
        <v>46003</v>
      </c>
      <c r="C21" t="s">
        <v>196</v>
      </c>
      <c r="D21" t="s">
        <v>200</v>
      </c>
      <c r="E21" t="s">
        <v>205</v>
      </c>
      <c r="F21" t="s">
        <v>221</v>
      </c>
      <c r="G21" t="s">
        <v>122</v>
      </c>
      <c r="H21" t="s">
        <v>127</v>
      </c>
    </row>
    <row r="22" spans="1:8" x14ac:dyDescent="0.35">
      <c r="A22" t="s">
        <v>154</v>
      </c>
      <c r="B22" s="4">
        <v>46004</v>
      </c>
      <c r="C22" t="s">
        <v>197</v>
      </c>
      <c r="D22" t="s">
        <v>203</v>
      </c>
      <c r="E22" t="s">
        <v>205</v>
      </c>
      <c r="G22" t="s">
        <v>123</v>
      </c>
      <c r="H22" t="s">
        <v>244</v>
      </c>
    </row>
    <row r="23" spans="1:8" x14ac:dyDescent="0.35">
      <c r="A23" t="s">
        <v>155</v>
      </c>
      <c r="B23" s="4">
        <v>46005</v>
      </c>
      <c r="C23" t="s">
        <v>196</v>
      </c>
      <c r="D23" t="s">
        <v>204</v>
      </c>
      <c r="E23" t="s">
        <v>205</v>
      </c>
      <c r="G23" t="s">
        <v>123</v>
      </c>
      <c r="H23" t="s">
        <v>244</v>
      </c>
    </row>
    <row r="24" spans="1:8" x14ac:dyDescent="0.35">
      <c r="A24" t="s">
        <v>156</v>
      </c>
      <c r="B24" s="4">
        <v>46006</v>
      </c>
      <c r="C24" t="s">
        <v>195</v>
      </c>
      <c r="D24" t="s">
        <v>203</v>
      </c>
      <c r="E24" t="s">
        <v>205</v>
      </c>
      <c r="F24" t="s">
        <v>222</v>
      </c>
      <c r="G24" t="s">
        <v>121</v>
      </c>
      <c r="H24" t="s">
        <v>244</v>
      </c>
    </row>
    <row r="25" spans="1:8" x14ac:dyDescent="0.35">
      <c r="A25" t="s">
        <v>157</v>
      </c>
      <c r="B25" s="4">
        <v>46007</v>
      </c>
      <c r="C25" t="s">
        <v>195</v>
      </c>
      <c r="D25" t="s">
        <v>199</v>
      </c>
      <c r="E25" t="s">
        <v>205</v>
      </c>
      <c r="G25" t="s">
        <v>124</v>
      </c>
      <c r="H25" t="s">
        <v>244</v>
      </c>
    </row>
    <row r="26" spans="1:8" x14ac:dyDescent="0.35">
      <c r="A26" t="s">
        <v>158</v>
      </c>
      <c r="B26" s="4">
        <v>46008</v>
      </c>
      <c r="C26" t="s">
        <v>194</v>
      </c>
      <c r="D26" t="s">
        <v>198</v>
      </c>
      <c r="E26" t="s">
        <v>205</v>
      </c>
      <c r="F26" t="s">
        <v>223</v>
      </c>
      <c r="G26" t="s">
        <v>124</v>
      </c>
      <c r="H26" t="s">
        <v>127</v>
      </c>
    </row>
    <row r="27" spans="1:8" x14ac:dyDescent="0.35">
      <c r="A27" t="s">
        <v>159</v>
      </c>
      <c r="B27" s="4">
        <v>46009</v>
      </c>
      <c r="C27" t="s">
        <v>195</v>
      </c>
      <c r="D27" t="s">
        <v>201</v>
      </c>
      <c r="E27" t="s">
        <v>205</v>
      </c>
      <c r="F27" t="s">
        <v>224</v>
      </c>
      <c r="G27" t="s">
        <v>122</v>
      </c>
      <c r="H27" t="s">
        <v>127</v>
      </c>
    </row>
    <row r="28" spans="1:8" x14ac:dyDescent="0.35">
      <c r="A28" t="s">
        <v>160</v>
      </c>
      <c r="B28" s="4">
        <v>46010</v>
      </c>
      <c r="C28" t="s">
        <v>194</v>
      </c>
      <c r="D28" t="s">
        <v>204</v>
      </c>
      <c r="E28" t="s">
        <v>205</v>
      </c>
      <c r="F28" t="s">
        <v>225</v>
      </c>
      <c r="G28" t="s">
        <v>122</v>
      </c>
      <c r="H28" t="s">
        <v>244</v>
      </c>
    </row>
    <row r="29" spans="1:8" x14ac:dyDescent="0.35">
      <c r="A29" t="s">
        <v>161</v>
      </c>
      <c r="B29" s="4">
        <v>46011</v>
      </c>
      <c r="C29" t="s">
        <v>195</v>
      </c>
      <c r="D29" t="s">
        <v>203</v>
      </c>
      <c r="E29" t="s">
        <v>205</v>
      </c>
      <c r="G29" t="s">
        <v>124</v>
      </c>
      <c r="H29" t="s">
        <v>127</v>
      </c>
    </row>
    <row r="30" spans="1:8" x14ac:dyDescent="0.35">
      <c r="A30" t="s">
        <v>162</v>
      </c>
      <c r="B30" s="4">
        <v>46012</v>
      </c>
      <c r="C30" t="s">
        <v>197</v>
      </c>
      <c r="D30" t="s">
        <v>202</v>
      </c>
      <c r="E30" t="s">
        <v>205</v>
      </c>
      <c r="G30" t="s">
        <v>121</v>
      </c>
      <c r="H30" t="s">
        <v>127</v>
      </c>
    </row>
    <row r="31" spans="1:8" x14ac:dyDescent="0.35">
      <c r="A31" t="s">
        <v>163</v>
      </c>
      <c r="B31" s="4">
        <v>46013</v>
      </c>
      <c r="C31" t="s">
        <v>197</v>
      </c>
      <c r="D31" t="s">
        <v>203</v>
      </c>
      <c r="E31" t="s">
        <v>205</v>
      </c>
      <c r="F31" t="s">
        <v>226</v>
      </c>
      <c r="G31" t="s">
        <v>124</v>
      </c>
      <c r="H31" t="s">
        <v>127</v>
      </c>
    </row>
    <row r="32" spans="1:8" x14ac:dyDescent="0.35">
      <c r="A32" t="s">
        <v>164</v>
      </c>
      <c r="B32" s="4">
        <v>46014</v>
      </c>
      <c r="C32" t="s">
        <v>195</v>
      </c>
      <c r="D32" t="s">
        <v>203</v>
      </c>
      <c r="E32" t="s">
        <v>205</v>
      </c>
      <c r="G32" t="s">
        <v>122</v>
      </c>
      <c r="H32" t="s">
        <v>126</v>
      </c>
    </row>
    <row r="33" spans="1:8" x14ac:dyDescent="0.35">
      <c r="A33" t="s">
        <v>165</v>
      </c>
      <c r="B33" s="4">
        <v>46015</v>
      </c>
      <c r="C33" t="s">
        <v>194</v>
      </c>
      <c r="D33" t="s">
        <v>198</v>
      </c>
      <c r="E33" t="s">
        <v>205</v>
      </c>
      <c r="G33" t="s">
        <v>122</v>
      </c>
      <c r="H33" t="s">
        <v>244</v>
      </c>
    </row>
    <row r="34" spans="1:8" x14ac:dyDescent="0.35">
      <c r="A34" t="s">
        <v>166</v>
      </c>
      <c r="B34" s="4">
        <v>46016</v>
      </c>
      <c r="C34" t="s">
        <v>196</v>
      </c>
      <c r="D34" t="s">
        <v>204</v>
      </c>
      <c r="E34" t="s">
        <v>205</v>
      </c>
      <c r="F34" t="s">
        <v>227</v>
      </c>
      <c r="G34" t="s">
        <v>121</v>
      </c>
      <c r="H34" t="s">
        <v>244</v>
      </c>
    </row>
    <row r="35" spans="1:8" x14ac:dyDescent="0.35">
      <c r="A35" t="s">
        <v>167</v>
      </c>
      <c r="B35" s="4">
        <v>46017</v>
      </c>
      <c r="C35" t="s">
        <v>195</v>
      </c>
      <c r="D35" t="s">
        <v>200</v>
      </c>
      <c r="E35" t="s">
        <v>205</v>
      </c>
      <c r="G35" t="s">
        <v>122</v>
      </c>
      <c r="H35" t="s">
        <v>127</v>
      </c>
    </row>
    <row r="36" spans="1:8" x14ac:dyDescent="0.35">
      <c r="A36" t="s">
        <v>168</v>
      </c>
      <c r="B36" s="4">
        <v>46018</v>
      </c>
      <c r="C36" t="s">
        <v>197</v>
      </c>
      <c r="D36" t="s">
        <v>200</v>
      </c>
      <c r="E36" t="s">
        <v>205</v>
      </c>
      <c r="G36" t="s">
        <v>123</v>
      </c>
      <c r="H36" t="s">
        <v>127</v>
      </c>
    </row>
    <row r="37" spans="1:8" x14ac:dyDescent="0.35">
      <c r="A37" t="s">
        <v>169</v>
      </c>
      <c r="B37" s="4">
        <v>46019</v>
      </c>
      <c r="C37" t="s">
        <v>194</v>
      </c>
      <c r="D37" t="s">
        <v>204</v>
      </c>
      <c r="E37" t="s">
        <v>205</v>
      </c>
      <c r="F37" t="s">
        <v>228</v>
      </c>
      <c r="G37" t="s">
        <v>122</v>
      </c>
      <c r="H37" t="s">
        <v>127</v>
      </c>
    </row>
    <row r="38" spans="1:8" x14ac:dyDescent="0.35">
      <c r="A38" t="s">
        <v>170</v>
      </c>
      <c r="B38" s="4">
        <v>46020</v>
      </c>
      <c r="C38" t="s">
        <v>196</v>
      </c>
      <c r="D38" t="s">
        <v>203</v>
      </c>
      <c r="E38" t="s">
        <v>205</v>
      </c>
      <c r="G38" t="s">
        <v>124</v>
      </c>
      <c r="H38" t="s">
        <v>126</v>
      </c>
    </row>
    <row r="39" spans="1:8" x14ac:dyDescent="0.35">
      <c r="A39" t="s">
        <v>171</v>
      </c>
      <c r="B39" s="4">
        <v>46021</v>
      </c>
      <c r="C39" t="s">
        <v>195</v>
      </c>
      <c r="D39" t="s">
        <v>203</v>
      </c>
      <c r="E39" t="s">
        <v>205</v>
      </c>
      <c r="F39" t="s">
        <v>229</v>
      </c>
      <c r="G39" t="s">
        <v>122</v>
      </c>
      <c r="H39" t="s">
        <v>244</v>
      </c>
    </row>
    <row r="40" spans="1:8" x14ac:dyDescent="0.35">
      <c r="A40" t="s">
        <v>172</v>
      </c>
      <c r="B40" s="4">
        <v>46022</v>
      </c>
      <c r="C40" t="s">
        <v>197</v>
      </c>
      <c r="D40" t="s">
        <v>199</v>
      </c>
      <c r="E40" t="s">
        <v>205</v>
      </c>
      <c r="F40" t="s">
        <v>230</v>
      </c>
      <c r="G40" t="s">
        <v>121</v>
      </c>
      <c r="H40" t="s">
        <v>127</v>
      </c>
    </row>
    <row r="41" spans="1:8" x14ac:dyDescent="0.35">
      <c r="A41" t="s">
        <v>173</v>
      </c>
      <c r="B41" s="4">
        <v>46023</v>
      </c>
      <c r="C41" t="s">
        <v>197</v>
      </c>
      <c r="D41" t="s">
        <v>204</v>
      </c>
      <c r="E41" t="s">
        <v>205</v>
      </c>
      <c r="F41" t="s">
        <v>231</v>
      </c>
      <c r="G41" t="s">
        <v>123</v>
      </c>
      <c r="H41" t="s">
        <v>126</v>
      </c>
    </row>
    <row r="42" spans="1:8" x14ac:dyDescent="0.35">
      <c r="A42" t="s">
        <v>174</v>
      </c>
      <c r="B42" s="4">
        <v>46024</v>
      </c>
      <c r="C42" t="s">
        <v>197</v>
      </c>
      <c r="D42" t="s">
        <v>199</v>
      </c>
      <c r="E42" t="s">
        <v>205</v>
      </c>
      <c r="F42" t="s">
        <v>232</v>
      </c>
      <c r="G42" t="s">
        <v>121</v>
      </c>
      <c r="H42" t="s">
        <v>127</v>
      </c>
    </row>
    <row r="43" spans="1:8" x14ac:dyDescent="0.35">
      <c r="A43" t="s">
        <v>175</v>
      </c>
      <c r="B43" s="4">
        <v>46025</v>
      </c>
      <c r="C43" t="s">
        <v>195</v>
      </c>
      <c r="D43" t="s">
        <v>201</v>
      </c>
      <c r="E43" t="s">
        <v>205</v>
      </c>
      <c r="F43" t="s">
        <v>233</v>
      </c>
      <c r="G43" t="s">
        <v>121</v>
      </c>
      <c r="H43" t="s">
        <v>244</v>
      </c>
    </row>
    <row r="44" spans="1:8" x14ac:dyDescent="0.35">
      <c r="A44" t="s">
        <v>176</v>
      </c>
      <c r="B44" s="4">
        <v>46026</v>
      </c>
      <c r="C44" t="s">
        <v>197</v>
      </c>
      <c r="D44" t="s">
        <v>201</v>
      </c>
      <c r="E44" t="s">
        <v>205</v>
      </c>
      <c r="F44" t="s">
        <v>234</v>
      </c>
      <c r="G44" t="s">
        <v>122</v>
      </c>
      <c r="H44" t="s">
        <v>244</v>
      </c>
    </row>
    <row r="45" spans="1:8" x14ac:dyDescent="0.35">
      <c r="A45" t="s">
        <v>177</v>
      </c>
      <c r="B45" s="4">
        <v>46027</v>
      </c>
      <c r="C45" t="s">
        <v>197</v>
      </c>
      <c r="D45" t="s">
        <v>204</v>
      </c>
      <c r="E45" t="s">
        <v>205</v>
      </c>
      <c r="G45" t="s">
        <v>121</v>
      </c>
      <c r="H45" t="s">
        <v>127</v>
      </c>
    </row>
    <row r="46" spans="1:8" x14ac:dyDescent="0.35">
      <c r="A46" t="s">
        <v>178</v>
      </c>
      <c r="B46" s="4">
        <v>46028</v>
      </c>
      <c r="C46" t="s">
        <v>194</v>
      </c>
      <c r="D46" t="s">
        <v>198</v>
      </c>
      <c r="E46" t="s">
        <v>205</v>
      </c>
      <c r="F46" t="s">
        <v>235</v>
      </c>
      <c r="G46" t="s">
        <v>123</v>
      </c>
      <c r="H46" t="s">
        <v>126</v>
      </c>
    </row>
    <row r="47" spans="1:8" x14ac:dyDescent="0.35">
      <c r="A47" t="s">
        <v>179</v>
      </c>
      <c r="B47" s="4">
        <v>46029</v>
      </c>
      <c r="C47" t="s">
        <v>196</v>
      </c>
      <c r="D47" t="s">
        <v>201</v>
      </c>
      <c r="E47" t="s">
        <v>205</v>
      </c>
      <c r="G47" t="s">
        <v>124</v>
      </c>
      <c r="H47" t="s">
        <v>244</v>
      </c>
    </row>
    <row r="48" spans="1:8" x14ac:dyDescent="0.35">
      <c r="A48" t="s">
        <v>180</v>
      </c>
      <c r="B48" s="4">
        <v>46030</v>
      </c>
      <c r="C48" t="s">
        <v>195</v>
      </c>
      <c r="D48" t="s">
        <v>199</v>
      </c>
      <c r="E48" t="s">
        <v>205</v>
      </c>
      <c r="G48" t="s">
        <v>124</v>
      </c>
      <c r="H48" t="s">
        <v>244</v>
      </c>
    </row>
    <row r="49" spans="1:8" x14ac:dyDescent="0.35">
      <c r="A49" t="s">
        <v>181</v>
      </c>
      <c r="B49" s="4">
        <v>46031</v>
      </c>
      <c r="C49" t="s">
        <v>197</v>
      </c>
      <c r="D49" t="s">
        <v>204</v>
      </c>
      <c r="E49" t="s">
        <v>205</v>
      </c>
      <c r="F49" t="s">
        <v>236</v>
      </c>
      <c r="G49" t="s">
        <v>124</v>
      </c>
      <c r="H49" t="s">
        <v>126</v>
      </c>
    </row>
    <row r="50" spans="1:8" x14ac:dyDescent="0.35">
      <c r="A50" t="s">
        <v>182</v>
      </c>
      <c r="B50" s="4">
        <v>46032</v>
      </c>
      <c r="C50" t="s">
        <v>194</v>
      </c>
      <c r="D50" t="s">
        <v>198</v>
      </c>
      <c r="E50" t="s">
        <v>205</v>
      </c>
      <c r="G50" t="s">
        <v>124</v>
      </c>
      <c r="H50" t="s">
        <v>127</v>
      </c>
    </row>
    <row r="51" spans="1:8" x14ac:dyDescent="0.35">
      <c r="A51" t="s">
        <v>183</v>
      </c>
      <c r="B51" s="4">
        <v>46033</v>
      </c>
      <c r="C51" t="s">
        <v>196</v>
      </c>
      <c r="D51" t="s">
        <v>199</v>
      </c>
      <c r="E51" t="s">
        <v>205</v>
      </c>
      <c r="F51" t="s">
        <v>237</v>
      </c>
      <c r="G51" t="s">
        <v>121</v>
      </c>
      <c r="H51" t="s">
        <v>244</v>
      </c>
    </row>
    <row r="52" spans="1:8" x14ac:dyDescent="0.35">
      <c r="A52" t="s">
        <v>184</v>
      </c>
      <c r="B52" s="4">
        <v>46034</v>
      </c>
      <c r="C52" t="s">
        <v>195</v>
      </c>
      <c r="D52" t="s">
        <v>202</v>
      </c>
      <c r="E52" t="s">
        <v>205</v>
      </c>
      <c r="G52" t="s">
        <v>123</v>
      </c>
      <c r="H52" t="s">
        <v>126</v>
      </c>
    </row>
    <row r="53" spans="1:8" x14ac:dyDescent="0.35">
      <c r="A53" t="s">
        <v>185</v>
      </c>
      <c r="B53" s="4">
        <v>46035</v>
      </c>
      <c r="C53" t="s">
        <v>195</v>
      </c>
      <c r="D53" t="s">
        <v>200</v>
      </c>
      <c r="E53" t="s">
        <v>205</v>
      </c>
      <c r="G53" t="s">
        <v>124</v>
      </c>
      <c r="H53" t="s">
        <v>127</v>
      </c>
    </row>
    <row r="54" spans="1:8" x14ac:dyDescent="0.35">
      <c r="A54" t="s">
        <v>186</v>
      </c>
      <c r="B54" s="4">
        <v>46036</v>
      </c>
      <c r="C54" t="s">
        <v>195</v>
      </c>
      <c r="D54" t="s">
        <v>201</v>
      </c>
      <c r="E54" t="s">
        <v>205</v>
      </c>
      <c r="G54" t="s">
        <v>124</v>
      </c>
      <c r="H54" t="s">
        <v>244</v>
      </c>
    </row>
    <row r="55" spans="1:8" x14ac:dyDescent="0.35">
      <c r="A55" t="s">
        <v>187</v>
      </c>
      <c r="B55" s="4">
        <v>46037</v>
      </c>
      <c r="C55" t="s">
        <v>196</v>
      </c>
      <c r="D55" t="s">
        <v>198</v>
      </c>
      <c r="E55" t="s">
        <v>205</v>
      </c>
      <c r="F55" t="s">
        <v>238</v>
      </c>
      <c r="G55" t="s">
        <v>123</v>
      </c>
      <c r="H55" t="s">
        <v>244</v>
      </c>
    </row>
    <row r="56" spans="1:8" x14ac:dyDescent="0.35">
      <c r="A56" t="s">
        <v>188</v>
      </c>
      <c r="B56" s="4">
        <v>46038</v>
      </c>
      <c r="C56" t="s">
        <v>196</v>
      </c>
      <c r="D56" t="s">
        <v>201</v>
      </c>
      <c r="E56" t="s">
        <v>205</v>
      </c>
      <c r="G56" t="s">
        <v>121</v>
      </c>
      <c r="H56" t="s">
        <v>127</v>
      </c>
    </row>
    <row r="57" spans="1:8" x14ac:dyDescent="0.35">
      <c r="A57" t="s">
        <v>189</v>
      </c>
      <c r="B57" s="4">
        <v>46039</v>
      </c>
      <c r="C57" t="s">
        <v>194</v>
      </c>
      <c r="D57" t="s">
        <v>202</v>
      </c>
      <c r="E57" t="s">
        <v>205</v>
      </c>
      <c r="F57" t="s">
        <v>239</v>
      </c>
      <c r="G57" t="s">
        <v>123</v>
      </c>
      <c r="H57" t="s">
        <v>127</v>
      </c>
    </row>
    <row r="58" spans="1:8" x14ac:dyDescent="0.35">
      <c r="A58" t="s">
        <v>190</v>
      </c>
      <c r="B58" s="4">
        <v>46040</v>
      </c>
      <c r="C58" t="s">
        <v>195</v>
      </c>
      <c r="D58" t="s">
        <v>198</v>
      </c>
      <c r="E58" t="s">
        <v>205</v>
      </c>
      <c r="F58" t="s">
        <v>240</v>
      </c>
      <c r="G58" t="s">
        <v>124</v>
      </c>
      <c r="H58" t="s">
        <v>244</v>
      </c>
    </row>
    <row r="59" spans="1:8" x14ac:dyDescent="0.35">
      <c r="A59" t="s">
        <v>191</v>
      </c>
      <c r="B59" s="4">
        <v>46041</v>
      </c>
      <c r="C59" t="s">
        <v>194</v>
      </c>
      <c r="D59" t="s">
        <v>202</v>
      </c>
      <c r="E59" t="s">
        <v>205</v>
      </c>
      <c r="F59" t="s">
        <v>241</v>
      </c>
      <c r="G59" t="s">
        <v>124</v>
      </c>
      <c r="H59" t="s">
        <v>127</v>
      </c>
    </row>
    <row r="60" spans="1:8" x14ac:dyDescent="0.35">
      <c r="A60" t="s">
        <v>192</v>
      </c>
      <c r="B60" s="4">
        <v>46042</v>
      </c>
      <c r="C60" t="s">
        <v>197</v>
      </c>
      <c r="D60" t="s">
        <v>200</v>
      </c>
      <c r="E60" t="s">
        <v>205</v>
      </c>
      <c r="F60" t="s">
        <v>242</v>
      </c>
      <c r="G60" t="s">
        <v>124</v>
      </c>
      <c r="H60" t="s">
        <v>127</v>
      </c>
    </row>
    <row r="61" spans="1:8" x14ac:dyDescent="0.35">
      <c r="A61" t="s">
        <v>193</v>
      </c>
      <c r="B61" s="4">
        <v>46043</v>
      </c>
      <c r="C61" t="s">
        <v>195</v>
      </c>
      <c r="D61" t="s">
        <v>198</v>
      </c>
      <c r="E61" t="s">
        <v>205</v>
      </c>
      <c r="F61" t="s">
        <v>243</v>
      </c>
      <c r="G61" t="s">
        <v>123</v>
      </c>
      <c r="H61" t="s">
        <v>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workbookViewId="0">
      <selection activeCell="H9" sqref="H9"/>
    </sheetView>
  </sheetViews>
  <sheetFormatPr defaultRowHeight="14.5" x14ac:dyDescent="0.35"/>
  <cols>
    <col min="2" max="2" width="13.81640625" customWidth="1"/>
    <col min="3" max="3" width="18.54296875" customWidth="1"/>
    <col min="4" max="4" width="42.7265625" customWidth="1"/>
    <col min="5" max="5" width="50.26953125" customWidth="1"/>
    <col min="6" max="6" width="24.7265625" customWidth="1"/>
    <col min="7" max="7" width="10.453125" bestFit="1" customWidth="1"/>
    <col min="8" max="8" width="27.81640625" customWidth="1"/>
    <col min="9" max="9" width="29.90625" customWidth="1"/>
  </cols>
  <sheetData>
    <row r="1" spans="1:10" x14ac:dyDescent="0.35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18</v>
      </c>
      <c r="G1" t="s">
        <v>250</v>
      </c>
      <c r="H1" t="s">
        <v>251</v>
      </c>
      <c r="I1" t="s">
        <v>252</v>
      </c>
      <c r="J1" t="s">
        <v>21</v>
      </c>
    </row>
    <row r="2" spans="1:10" x14ac:dyDescent="0.35">
      <c r="A2" t="s">
        <v>206</v>
      </c>
      <c r="B2" t="s">
        <v>134</v>
      </c>
      <c r="C2" s="4">
        <v>46057.767464467594</v>
      </c>
      <c r="D2" t="s">
        <v>271</v>
      </c>
      <c r="E2" t="s">
        <v>276</v>
      </c>
      <c r="F2" t="s">
        <v>123</v>
      </c>
      <c r="G2" s="4">
        <v>46122.767464467594</v>
      </c>
      <c r="H2" s="4">
        <v>46145.767464467594</v>
      </c>
      <c r="I2" t="s">
        <v>277</v>
      </c>
      <c r="J2" t="s">
        <v>127</v>
      </c>
    </row>
    <row r="3" spans="1:10" x14ac:dyDescent="0.35">
      <c r="A3" t="s">
        <v>207</v>
      </c>
      <c r="B3" t="s">
        <v>135</v>
      </c>
      <c r="C3" s="4">
        <v>46058</v>
      </c>
      <c r="D3" t="s">
        <v>272</v>
      </c>
      <c r="E3" t="s">
        <v>276</v>
      </c>
      <c r="F3" t="s">
        <v>122</v>
      </c>
      <c r="G3" s="4">
        <v>46123</v>
      </c>
      <c r="H3" s="4">
        <v>45980.767464467594</v>
      </c>
      <c r="I3" t="s">
        <v>278</v>
      </c>
      <c r="J3" t="s">
        <v>127</v>
      </c>
    </row>
    <row r="4" spans="1:10" x14ac:dyDescent="0.35">
      <c r="A4" t="s">
        <v>208</v>
      </c>
      <c r="B4" t="s">
        <v>136</v>
      </c>
      <c r="C4" s="4">
        <v>46059</v>
      </c>
      <c r="D4" t="s">
        <v>273</v>
      </c>
      <c r="E4" t="s">
        <v>276</v>
      </c>
      <c r="F4" t="s">
        <v>121</v>
      </c>
      <c r="G4" s="4">
        <v>46124</v>
      </c>
      <c r="H4" s="4"/>
      <c r="I4" t="s">
        <v>279</v>
      </c>
      <c r="J4" t="s">
        <v>126</v>
      </c>
    </row>
    <row r="5" spans="1:10" x14ac:dyDescent="0.35">
      <c r="A5" t="s">
        <v>209</v>
      </c>
      <c r="B5" t="s">
        <v>137</v>
      </c>
      <c r="C5" s="4">
        <v>46060</v>
      </c>
      <c r="D5" t="s">
        <v>274</v>
      </c>
      <c r="E5" t="s">
        <v>276</v>
      </c>
      <c r="F5" t="s">
        <v>121</v>
      </c>
      <c r="G5" s="4">
        <v>46125</v>
      </c>
      <c r="H5" s="4">
        <v>45906.767464467594</v>
      </c>
      <c r="I5" t="s">
        <v>278</v>
      </c>
      <c r="J5" t="s">
        <v>127</v>
      </c>
    </row>
    <row r="6" spans="1:10" x14ac:dyDescent="0.35">
      <c r="A6" t="s">
        <v>253</v>
      </c>
      <c r="B6" t="s">
        <v>138</v>
      </c>
      <c r="C6" s="4">
        <v>46061</v>
      </c>
      <c r="D6" t="s">
        <v>271</v>
      </c>
      <c r="E6" t="s">
        <v>276</v>
      </c>
      <c r="F6" t="s">
        <v>124</v>
      </c>
      <c r="G6" s="4">
        <v>46126</v>
      </c>
      <c r="H6" s="4">
        <v>46063.767464467594</v>
      </c>
      <c r="I6" t="s">
        <v>277</v>
      </c>
      <c r="J6" t="s">
        <v>280</v>
      </c>
    </row>
    <row r="7" spans="1:10" x14ac:dyDescent="0.35">
      <c r="A7" t="s">
        <v>210</v>
      </c>
      <c r="B7" t="s">
        <v>139</v>
      </c>
      <c r="C7" s="4">
        <v>46062</v>
      </c>
      <c r="D7" t="s">
        <v>271</v>
      </c>
      <c r="E7" t="s">
        <v>276</v>
      </c>
      <c r="F7" t="s">
        <v>123</v>
      </c>
      <c r="G7" s="4">
        <v>46127</v>
      </c>
      <c r="H7" s="4">
        <v>46129.767464467594</v>
      </c>
      <c r="I7" t="s">
        <v>278</v>
      </c>
      <c r="J7" t="s">
        <v>126</v>
      </c>
    </row>
    <row r="8" spans="1:10" x14ac:dyDescent="0.35">
      <c r="A8" t="s">
        <v>211</v>
      </c>
      <c r="B8" t="s">
        <v>140</v>
      </c>
      <c r="C8" s="4">
        <v>46063</v>
      </c>
      <c r="D8" t="s">
        <v>272</v>
      </c>
      <c r="E8" t="s">
        <v>276</v>
      </c>
      <c r="F8" t="s">
        <v>123</v>
      </c>
      <c r="G8" s="4">
        <v>46128</v>
      </c>
      <c r="H8" s="4"/>
      <c r="I8" t="s">
        <v>278</v>
      </c>
      <c r="J8" t="s">
        <v>127</v>
      </c>
    </row>
    <row r="9" spans="1:10" x14ac:dyDescent="0.35">
      <c r="A9" t="s">
        <v>212</v>
      </c>
      <c r="B9" t="s">
        <v>141</v>
      </c>
      <c r="C9" s="4">
        <v>46064</v>
      </c>
      <c r="D9" t="s">
        <v>273</v>
      </c>
      <c r="E9" t="s">
        <v>276</v>
      </c>
      <c r="F9" t="s">
        <v>121</v>
      </c>
      <c r="G9" s="4">
        <v>46129</v>
      </c>
      <c r="H9" s="4">
        <v>46039.767464467594</v>
      </c>
      <c r="I9" t="s">
        <v>278</v>
      </c>
      <c r="J9" t="s">
        <v>127</v>
      </c>
    </row>
    <row r="10" spans="1:10" x14ac:dyDescent="0.35">
      <c r="A10" t="s">
        <v>213</v>
      </c>
      <c r="B10" t="s">
        <v>142</v>
      </c>
      <c r="C10" s="4">
        <v>46065</v>
      </c>
      <c r="D10" t="s">
        <v>274</v>
      </c>
      <c r="E10" t="s">
        <v>276</v>
      </c>
      <c r="F10" t="s">
        <v>121</v>
      </c>
      <c r="G10" s="4">
        <v>46130</v>
      </c>
      <c r="H10" s="4">
        <v>45954.767464467594</v>
      </c>
      <c r="I10" t="s">
        <v>278</v>
      </c>
      <c r="J10" t="s">
        <v>280</v>
      </c>
    </row>
    <row r="11" spans="1:10" x14ac:dyDescent="0.35">
      <c r="A11" t="s">
        <v>214</v>
      </c>
      <c r="B11" t="s">
        <v>143</v>
      </c>
      <c r="C11" s="4">
        <v>46066</v>
      </c>
      <c r="D11" t="s">
        <v>275</v>
      </c>
      <c r="E11" t="s">
        <v>276</v>
      </c>
      <c r="F11" t="s">
        <v>123</v>
      </c>
      <c r="G11" s="4">
        <v>46131</v>
      </c>
      <c r="H11" s="4">
        <v>46033.767464467594</v>
      </c>
      <c r="I11" t="s">
        <v>278</v>
      </c>
      <c r="J11" t="s">
        <v>280</v>
      </c>
    </row>
    <row r="12" spans="1:10" x14ac:dyDescent="0.35">
      <c r="A12" t="s">
        <v>215</v>
      </c>
      <c r="B12" t="s">
        <v>144</v>
      </c>
      <c r="C12" s="4">
        <v>46067</v>
      </c>
      <c r="D12" t="s">
        <v>273</v>
      </c>
      <c r="E12" t="s">
        <v>276</v>
      </c>
      <c r="F12" t="s">
        <v>121</v>
      </c>
      <c r="G12" s="4">
        <v>46132</v>
      </c>
      <c r="H12" s="4"/>
      <c r="I12" t="s">
        <v>279</v>
      </c>
      <c r="J12" t="s">
        <v>127</v>
      </c>
    </row>
    <row r="13" spans="1:10" x14ac:dyDescent="0.35">
      <c r="A13" t="s">
        <v>254</v>
      </c>
      <c r="B13" t="s">
        <v>145</v>
      </c>
      <c r="C13" s="4">
        <v>46068</v>
      </c>
      <c r="D13" t="s">
        <v>271</v>
      </c>
      <c r="E13" t="s">
        <v>276</v>
      </c>
      <c r="F13" t="s">
        <v>121</v>
      </c>
      <c r="G13" s="4">
        <v>46133</v>
      </c>
      <c r="H13" s="4">
        <v>46010.767464467594</v>
      </c>
      <c r="I13" t="s">
        <v>279</v>
      </c>
      <c r="J13" t="s">
        <v>280</v>
      </c>
    </row>
    <row r="14" spans="1:10" x14ac:dyDescent="0.35">
      <c r="A14" t="s">
        <v>255</v>
      </c>
      <c r="B14" t="s">
        <v>146</v>
      </c>
      <c r="C14" s="4">
        <v>46069</v>
      </c>
      <c r="D14" t="s">
        <v>274</v>
      </c>
      <c r="E14" t="s">
        <v>276</v>
      </c>
      <c r="F14" t="s">
        <v>121</v>
      </c>
      <c r="G14" s="4">
        <v>46134</v>
      </c>
      <c r="H14" s="4"/>
      <c r="I14" t="s">
        <v>278</v>
      </c>
      <c r="J14" t="s">
        <v>127</v>
      </c>
    </row>
    <row r="15" spans="1:10" x14ac:dyDescent="0.35">
      <c r="A15" t="s">
        <v>216</v>
      </c>
      <c r="B15" t="s">
        <v>147</v>
      </c>
      <c r="C15" s="4">
        <v>46070</v>
      </c>
      <c r="D15" t="s">
        <v>275</v>
      </c>
      <c r="E15" t="s">
        <v>276</v>
      </c>
      <c r="F15" t="s">
        <v>121</v>
      </c>
      <c r="G15" s="4">
        <v>46135</v>
      </c>
      <c r="H15" s="4"/>
      <c r="I15" t="s">
        <v>279</v>
      </c>
      <c r="J15" t="s">
        <v>126</v>
      </c>
    </row>
    <row r="16" spans="1:10" x14ac:dyDescent="0.35">
      <c r="A16" t="s">
        <v>217</v>
      </c>
      <c r="B16" t="s">
        <v>148</v>
      </c>
      <c r="C16" s="4">
        <v>46071</v>
      </c>
      <c r="D16" t="s">
        <v>271</v>
      </c>
      <c r="E16" t="s">
        <v>276</v>
      </c>
      <c r="F16" t="s">
        <v>122</v>
      </c>
      <c r="G16" s="4">
        <v>46136</v>
      </c>
      <c r="H16" s="4">
        <v>46075.767464467594</v>
      </c>
      <c r="I16" t="s">
        <v>277</v>
      </c>
      <c r="J16" t="s">
        <v>126</v>
      </c>
    </row>
    <row r="17" spans="1:10" x14ac:dyDescent="0.35">
      <c r="A17" t="s">
        <v>218</v>
      </c>
      <c r="B17" t="s">
        <v>149</v>
      </c>
      <c r="C17" s="4">
        <v>46072</v>
      </c>
      <c r="D17" t="s">
        <v>274</v>
      </c>
      <c r="E17" t="s">
        <v>276</v>
      </c>
      <c r="F17" t="s">
        <v>123</v>
      </c>
      <c r="G17" s="4">
        <v>46137</v>
      </c>
      <c r="H17" s="4">
        <v>45956.767464467594</v>
      </c>
      <c r="I17" t="s">
        <v>277</v>
      </c>
      <c r="J17" t="s">
        <v>127</v>
      </c>
    </row>
    <row r="18" spans="1:10" x14ac:dyDescent="0.35">
      <c r="A18" t="s">
        <v>219</v>
      </c>
      <c r="B18" t="s">
        <v>150</v>
      </c>
      <c r="C18" s="4">
        <v>46073</v>
      </c>
      <c r="D18" t="s">
        <v>272</v>
      </c>
      <c r="E18" t="s">
        <v>276</v>
      </c>
      <c r="F18" t="s">
        <v>121</v>
      </c>
      <c r="G18" s="4">
        <v>46138</v>
      </c>
      <c r="H18" s="4">
        <v>46151.767464467594</v>
      </c>
      <c r="I18" t="s">
        <v>279</v>
      </c>
      <c r="J18" t="s">
        <v>126</v>
      </c>
    </row>
    <row r="19" spans="1:10" x14ac:dyDescent="0.35">
      <c r="A19" t="s">
        <v>220</v>
      </c>
      <c r="B19" t="s">
        <v>151</v>
      </c>
      <c r="C19" s="4">
        <v>46074</v>
      </c>
      <c r="D19" t="s">
        <v>272</v>
      </c>
      <c r="E19" t="s">
        <v>276</v>
      </c>
      <c r="F19" t="s">
        <v>122</v>
      </c>
      <c r="G19" s="4">
        <v>46139</v>
      </c>
      <c r="H19" s="4"/>
      <c r="I19" t="s">
        <v>277</v>
      </c>
      <c r="J19" t="s">
        <v>127</v>
      </c>
    </row>
    <row r="20" spans="1:10" x14ac:dyDescent="0.35">
      <c r="A20" t="s">
        <v>256</v>
      </c>
      <c r="B20" t="s">
        <v>152</v>
      </c>
      <c r="C20" s="4">
        <v>46075</v>
      </c>
      <c r="D20" t="s">
        <v>274</v>
      </c>
      <c r="E20" t="s">
        <v>276</v>
      </c>
      <c r="F20" t="s">
        <v>122</v>
      </c>
      <c r="G20" s="4">
        <v>46140</v>
      </c>
      <c r="H20" s="4">
        <v>46027.767464467594</v>
      </c>
      <c r="I20" t="s">
        <v>279</v>
      </c>
      <c r="J20" t="s">
        <v>127</v>
      </c>
    </row>
    <row r="21" spans="1:10" x14ac:dyDescent="0.35">
      <c r="A21" t="s">
        <v>221</v>
      </c>
      <c r="B21" t="s">
        <v>153</v>
      </c>
      <c r="C21" s="4">
        <v>46076</v>
      </c>
      <c r="D21" t="s">
        <v>271</v>
      </c>
      <c r="E21" t="s">
        <v>276</v>
      </c>
      <c r="F21" t="s">
        <v>124</v>
      </c>
      <c r="G21" s="4">
        <v>46141</v>
      </c>
      <c r="H21" s="4">
        <v>45949.767464467594</v>
      </c>
      <c r="I21" t="s">
        <v>279</v>
      </c>
      <c r="J21" t="s">
        <v>126</v>
      </c>
    </row>
    <row r="22" spans="1:10" x14ac:dyDescent="0.35">
      <c r="A22" t="s">
        <v>257</v>
      </c>
      <c r="B22" t="s">
        <v>154</v>
      </c>
      <c r="C22" s="4">
        <v>46077</v>
      </c>
      <c r="D22" t="s">
        <v>273</v>
      </c>
      <c r="E22" t="s">
        <v>276</v>
      </c>
      <c r="F22" t="s">
        <v>124</v>
      </c>
      <c r="G22" s="4">
        <v>46142</v>
      </c>
      <c r="H22" s="4"/>
      <c r="I22" t="s">
        <v>277</v>
      </c>
      <c r="J22" t="s">
        <v>126</v>
      </c>
    </row>
    <row r="23" spans="1:10" x14ac:dyDescent="0.35">
      <c r="A23" t="s">
        <v>258</v>
      </c>
      <c r="B23" t="s">
        <v>155</v>
      </c>
      <c r="C23" s="4">
        <v>46078</v>
      </c>
      <c r="D23" t="s">
        <v>274</v>
      </c>
      <c r="E23" t="s">
        <v>276</v>
      </c>
      <c r="F23" t="s">
        <v>122</v>
      </c>
      <c r="G23" s="4">
        <v>46143</v>
      </c>
      <c r="H23" s="4">
        <v>45991.767464467594</v>
      </c>
      <c r="I23" t="s">
        <v>278</v>
      </c>
      <c r="J23" t="s">
        <v>127</v>
      </c>
    </row>
    <row r="24" spans="1:10" x14ac:dyDescent="0.35">
      <c r="A24" t="s">
        <v>222</v>
      </c>
      <c r="B24" t="s">
        <v>156</v>
      </c>
      <c r="C24" s="4">
        <v>46079</v>
      </c>
      <c r="D24" t="s">
        <v>273</v>
      </c>
      <c r="E24" t="s">
        <v>276</v>
      </c>
      <c r="F24" t="s">
        <v>123</v>
      </c>
      <c r="G24" s="4">
        <v>46144</v>
      </c>
      <c r="H24" s="4"/>
      <c r="I24" t="s">
        <v>278</v>
      </c>
      <c r="J24" t="s">
        <v>126</v>
      </c>
    </row>
    <row r="25" spans="1:10" x14ac:dyDescent="0.35">
      <c r="A25" t="s">
        <v>259</v>
      </c>
      <c r="B25" t="s">
        <v>157</v>
      </c>
      <c r="C25" s="4">
        <v>46080</v>
      </c>
      <c r="D25" t="s">
        <v>271</v>
      </c>
      <c r="E25" t="s">
        <v>276</v>
      </c>
      <c r="F25" t="s">
        <v>123</v>
      </c>
      <c r="G25" s="4">
        <v>46145</v>
      </c>
      <c r="H25" s="4"/>
      <c r="I25" t="s">
        <v>279</v>
      </c>
      <c r="J25" t="s">
        <v>280</v>
      </c>
    </row>
    <row r="26" spans="1:10" x14ac:dyDescent="0.35">
      <c r="A26" t="s">
        <v>223</v>
      </c>
      <c r="B26" t="s">
        <v>158</v>
      </c>
      <c r="C26" s="4">
        <v>46081</v>
      </c>
      <c r="D26" t="s">
        <v>273</v>
      </c>
      <c r="E26" t="s">
        <v>276</v>
      </c>
      <c r="F26" t="s">
        <v>121</v>
      </c>
      <c r="G26" s="4">
        <v>46146</v>
      </c>
      <c r="H26" s="4"/>
      <c r="I26" t="s">
        <v>278</v>
      </c>
      <c r="J26" t="s">
        <v>127</v>
      </c>
    </row>
    <row r="27" spans="1:10" x14ac:dyDescent="0.35">
      <c r="A27" t="s">
        <v>224</v>
      </c>
      <c r="B27" t="s">
        <v>159</v>
      </c>
      <c r="C27" s="4">
        <v>46082</v>
      </c>
      <c r="D27" t="s">
        <v>274</v>
      </c>
      <c r="E27" t="s">
        <v>276</v>
      </c>
      <c r="F27" t="s">
        <v>123</v>
      </c>
      <c r="G27" s="4">
        <v>46147</v>
      </c>
      <c r="H27" s="4">
        <v>45979.767464467594</v>
      </c>
      <c r="I27" t="s">
        <v>278</v>
      </c>
      <c r="J27" t="s">
        <v>127</v>
      </c>
    </row>
    <row r="28" spans="1:10" x14ac:dyDescent="0.35">
      <c r="A28" t="s">
        <v>225</v>
      </c>
      <c r="B28" t="s">
        <v>160</v>
      </c>
      <c r="C28" s="4">
        <v>46083</v>
      </c>
      <c r="D28" t="s">
        <v>271</v>
      </c>
      <c r="E28" t="s">
        <v>276</v>
      </c>
      <c r="F28" t="s">
        <v>123</v>
      </c>
      <c r="G28" s="4">
        <v>46148</v>
      </c>
      <c r="H28" s="4">
        <v>46112.767464467594</v>
      </c>
      <c r="I28" t="s">
        <v>277</v>
      </c>
      <c r="J28" t="s">
        <v>127</v>
      </c>
    </row>
    <row r="29" spans="1:10" x14ac:dyDescent="0.35">
      <c r="A29" t="s">
        <v>260</v>
      </c>
      <c r="B29" t="s">
        <v>161</v>
      </c>
      <c r="C29" s="4">
        <v>46084</v>
      </c>
      <c r="D29" t="s">
        <v>273</v>
      </c>
      <c r="E29" t="s">
        <v>276</v>
      </c>
      <c r="F29" t="s">
        <v>124</v>
      </c>
      <c r="G29" s="4">
        <v>46149</v>
      </c>
      <c r="H29" s="4">
        <v>45976.767464467594</v>
      </c>
      <c r="I29" t="s">
        <v>278</v>
      </c>
      <c r="J29" t="s">
        <v>280</v>
      </c>
    </row>
    <row r="30" spans="1:10" x14ac:dyDescent="0.35">
      <c r="A30" t="s">
        <v>261</v>
      </c>
      <c r="B30" t="s">
        <v>162</v>
      </c>
      <c r="C30" s="4">
        <v>46085</v>
      </c>
      <c r="D30" t="s">
        <v>275</v>
      </c>
      <c r="E30" t="s">
        <v>276</v>
      </c>
      <c r="F30" t="s">
        <v>122</v>
      </c>
      <c r="G30" s="4">
        <v>46150</v>
      </c>
      <c r="H30" s="4">
        <v>46037.767464467594</v>
      </c>
      <c r="I30" t="s">
        <v>278</v>
      </c>
      <c r="J30" t="s">
        <v>280</v>
      </c>
    </row>
    <row r="31" spans="1:10" x14ac:dyDescent="0.35">
      <c r="A31" t="s">
        <v>226</v>
      </c>
      <c r="B31" t="s">
        <v>163</v>
      </c>
      <c r="C31" s="4">
        <v>46086</v>
      </c>
      <c r="D31" t="s">
        <v>272</v>
      </c>
      <c r="E31" t="s">
        <v>276</v>
      </c>
      <c r="F31" t="s">
        <v>123</v>
      </c>
      <c r="G31" s="4">
        <v>46151</v>
      </c>
      <c r="H31" s="4"/>
      <c r="I31" t="s">
        <v>278</v>
      </c>
      <c r="J31" t="s">
        <v>126</v>
      </c>
    </row>
    <row r="32" spans="1:10" x14ac:dyDescent="0.35">
      <c r="A32" t="s">
        <v>262</v>
      </c>
      <c r="B32" t="s">
        <v>164</v>
      </c>
      <c r="C32" s="4">
        <v>46087</v>
      </c>
      <c r="D32" t="s">
        <v>271</v>
      </c>
      <c r="E32" t="s">
        <v>276</v>
      </c>
      <c r="F32" t="s">
        <v>123</v>
      </c>
      <c r="G32" s="4">
        <v>46152</v>
      </c>
      <c r="H32" s="4"/>
      <c r="I32" t="s">
        <v>278</v>
      </c>
      <c r="J32" t="s">
        <v>127</v>
      </c>
    </row>
    <row r="33" spans="1:10" x14ac:dyDescent="0.35">
      <c r="A33" t="s">
        <v>263</v>
      </c>
      <c r="B33" t="s">
        <v>165</v>
      </c>
      <c r="C33" s="4">
        <v>46088</v>
      </c>
      <c r="D33" t="s">
        <v>271</v>
      </c>
      <c r="E33" t="s">
        <v>276</v>
      </c>
      <c r="F33" t="s">
        <v>121</v>
      </c>
      <c r="G33" s="4">
        <v>46153</v>
      </c>
      <c r="H33" s="4">
        <v>46037.767464467594</v>
      </c>
      <c r="I33" t="s">
        <v>278</v>
      </c>
      <c r="J33" t="s">
        <v>126</v>
      </c>
    </row>
    <row r="34" spans="1:10" x14ac:dyDescent="0.35">
      <c r="A34" t="s">
        <v>227</v>
      </c>
      <c r="B34" t="s">
        <v>166</v>
      </c>
      <c r="C34" s="4">
        <v>46089</v>
      </c>
      <c r="D34" t="s">
        <v>272</v>
      </c>
      <c r="E34" t="s">
        <v>276</v>
      </c>
      <c r="F34" t="s">
        <v>121</v>
      </c>
      <c r="G34" s="4">
        <v>46154</v>
      </c>
      <c r="H34" s="4"/>
      <c r="I34" t="s">
        <v>277</v>
      </c>
      <c r="J34" t="s">
        <v>127</v>
      </c>
    </row>
    <row r="35" spans="1:10" x14ac:dyDescent="0.35">
      <c r="A35" t="s">
        <v>264</v>
      </c>
      <c r="B35" t="s">
        <v>167</v>
      </c>
      <c r="C35" s="4">
        <v>46090</v>
      </c>
      <c r="D35" t="s">
        <v>271</v>
      </c>
      <c r="E35" t="s">
        <v>276</v>
      </c>
      <c r="F35" t="s">
        <v>124</v>
      </c>
      <c r="G35" s="4">
        <v>46155</v>
      </c>
      <c r="H35" s="4"/>
      <c r="I35" t="s">
        <v>279</v>
      </c>
      <c r="J35" t="s">
        <v>280</v>
      </c>
    </row>
    <row r="36" spans="1:10" x14ac:dyDescent="0.35">
      <c r="A36" t="s">
        <v>265</v>
      </c>
      <c r="B36" t="s">
        <v>168</v>
      </c>
      <c r="C36" s="4">
        <v>46091</v>
      </c>
      <c r="D36" t="s">
        <v>273</v>
      </c>
      <c r="E36" t="s">
        <v>276</v>
      </c>
      <c r="F36" t="s">
        <v>124</v>
      </c>
      <c r="G36" s="4">
        <v>46156</v>
      </c>
      <c r="H36" s="4"/>
      <c r="I36" t="s">
        <v>278</v>
      </c>
      <c r="J36" t="s">
        <v>280</v>
      </c>
    </row>
    <row r="37" spans="1:10" x14ac:dyDescent="0.35">
      <c r="A37" t="s">
        <v>228</v>
      </c>
      <c r="B37" t="s">
        <v>169</v>
      </c>
      <c r="C37" s="4">
        <v>46092</v>
      </c>
      <c r="D37" t="s">
        <v>271</v>
      </c>
      <c r="E37" t="s">
        <v>276</v>
      </c>
      <c r="F37" t="s">
        <v>121</v>
      </c>
      <c r="G37" s="4">
        <v>46157</v>
      </c>
      <c r="H37" s="4">
        <v>46122.767464467594</v>
      </c>
      <c r="I37" t="s">
        <v>278</v>
      </c>
      <c r="J37" t="s">
        <v>127</v>
      </c>
    </row>
    <row r="38" spans="1:10" x14ac:dyDescent="0.35">
      <c r="A38" t="s">
        <v>266</v>
      </c>
      <c r="B38" t="s">
        <v>170</v>
      </c>
      <c r="C38" s="4">
        <v>46093</v>
      </c>
      <c r="D38" t="s">
        <v>275</v>
      </c>
      <c r="E38" t="s">
        <v>276</v>
      </c>
      <c r="F38" t="s">
        <v>124</v>
      </c>
      <c r="G38" s="4">
        <v>46158</v>
      </c>
      <c r="H38" s="4">
        <v>46030.767464467594</v>
      </c>
      <c r="I38" t="s">
        <v>278</v>
      </c>
      <c r="J38" t="s">
        <v>280</v>
      </c>
    </row>
    <row r="39" spans="1:10" x14ac:dyDescent="0.35">
      <c r="A39" t="s">
        <v>229</v>
      </c>
      <c r="B39" t="s">
        <v>171</v>
      </c>
      <c r="C39" s="4">
        <v>46094</v>
      </c>
      <c r="D39" t="s">
        <v>274</v>
      </c>
      <c r="E39" t="s">
        <v>276</v>
      </c>
      <c r="F39" t="s">
        <v>124</v>
      </c>
      <c r="G39" s="4">
        <v>46159</v>
      </c>
      <c r="H39" s="4"/>
      <c r="I39" t="s">
        <v>279</v>
      </c>
      <c r="J39" t="s">
        <v>126</v>
      </c>
    </row>
    <row r="40" spans="1:10" x14ac:dyDescent="0.35">
      <c r="A40" t="s">
        <v>230</v>
      </c>
      <c r="B40" t="s">
        <v>172</v>
      </c>
      <c r="C40" s="4">
        <v>46095</v>
      </c>
      <c r="D40" t="s">
        <v>271</v>
      </c>
      <c r="E40" t="s">
        <v>276</v>
      </c>
      <c r="F40" t="s">
        <v>121</v>
      </c>
      <c r="G40" s="4">
        <v>46160</v>
      </c>
      <c r="H40" s="4"/>
      <c r="I40" t="s">
        <v>279</v>
      </c>
      <c r="J40" t="s">
        <v>280</v>
      </c>
    </row>
    <row r="41" spans="1:10" x14ac:dyDescent="0.35">
      <c r="A41" t="s">
        <v>231</v>
      </c>
      <c r="B41" t="s">
        <v>173</v>
      </c>
      <c r="C41" s="4">
        <v>46096</v>
      </c>
      <c r="D41" t="s">
        <v>272</v>
      </c>
      <c r="E41" t="s">
        <v>276</v>
      </c>
      <c r="F41" t="s">
        <v>121</v>
      </c>
      <c r="G41" s="4">
        <v>46161</v>
      </c>
      <c r="H41" s="4"/>
      <c r="I41" t="s">
        <v>278</v>
      </c>
      <c r="J41" t="s">
        <v>280</v>
      </c>
    </row>
    <row r="42" spans="1:10" x14ac:dyDescent="0.35">
      <c r="A42" t="s">
        <v>232</v>
      </c>
      <c r="B42" t="s">
        <v>174</v>
      </c>
      <c r="C42" s="4">
        <v>46097</v>
      </c>
      <c r="D42" t="s">
        <v>274</v>
      </c>
      <c r="E42" t="s">
        <v>276</v>
      </c>
      <c r="F42" t="s">
        <v>124</v>
      </c>
      <c r="G42" s="4">
        <v>46162</v>
      </c>
      <c r="H42" s="4"/>
      <c r="I42" t="s">
        <v>279</v>
      </c>
      <c r="J42" t="s">
        <v>126</v>
      </c>
    </row>
    <row r="43" spans="1:10" x14ac:dyDescent="0.35">
      <c r="A43" t="s">
        <v>233</v>
      </c>
      <c r="B43" t="s">
        <v>175</v>
      </c>
      <c r="C43" s="4">
        <v>46098</v>
      </c>
      <c r="D43" t="s">
        <v>271</v>
      </c>
      <c r="E43" t="s">
        <v>276</v>
      </c>
      <c r="F43" t="s">
        <v>124</v>
      </c>
      <c r="G43" s="4">
        <v>46163</v>
      </c>
      <c r="H43" s="4"/>
      <c r="I43" t="s">
        <v>277</v>
      </c>
      <c r="J43" t="s">
        <v>127</v>
      </c>
    </row>
    <row r="44" spans="1:10" x14ac:dyDescent="0.35">
      <c r="A44" t="s">
        <v>234</v>
      </c>
      <c r="B44" t="s">
        <v>176</v>
      </c>
      <c r="C44" s="4">
        <v>46099</v>
      </c>
      <c r="D44" t="s">
        <v>272</v>
      </c>
      <c r="E44" t="s">
        <v>276</v>
      </c>
      <c r="F44" t="s">
        <v>122</v>
      </c>
      <c r="G44" s="4">
        <v>46164</v>
      </c>
      <c r="H44" s="4">
        <v>46001.767464467594</v>
      </c>
      <c r="I44" t="s">
        <v>279</v>
      </c>
      <c r="J44" t="s">
        <v>280</v>
      </c>
    </row>
    <row r="45" spans="1:10" x14ac:dyDescent="0.35">
      <c r="A45" t="s">
        <v>267</v>
      </c>
      <c r="B45" t="s">
        <v>177</v>
      </c>
      <c r="C45" s="4">
        <v>46100</v>
      </c>
      <c r="D45" t="s">
        <v>275</v>
      </c>
      <c r="E45" t="s">
        <v>276</v>
      </c>
      <c r="F45" t="s">
        <v>124</v>
      </c>
      <c r="G45" s="4">
        <v>46165</v>
      </c>
      <c r="H45" s="4">
        <v>46009.767464467594</v>
      </c>
      <c r="I45" t="s">
        <v>278</v>
      </c>
      <c r="J45" t="s">
        <v>126</v>
      </c>
    </row>
    <row r="46" spans="1:10" x14ac:dyDescent="0.35">
      <c r="A46" t="s">
        <v>235</v>
      </c>
      <c r="B46" t="s">
        <v>178</v>
      </c>
      <c r="C46" s="4">
        <v>46101</v>
      </c>
      <c r="D46" t="s">
        <v>275</v>
      </c>
      <c r="E46" t="s">
        <v>276</v>
      </c>
      <c r="F46" t="s">
        <v>124</v>
      </c>
      <c r="G46" s="4">
        <v>46166</v>
      </c>
      <c r="H46" s="4"/>
      <c r="I46" t="s">
        <v>278</v>
      </c>
      <c r="J46" t="s">
        <v>126</v>
      </c>
    </row>
    <row r="47" spans="1:10" x14ac:dyDescent="0.35">
      <c r="A47" t="s">
        <v>268</v>
      </c>
      <c r="B47" t="s">
        <v>179</v>
      </c>
      <c r="C47" s="4">
        <v>46102</v>
      </c>
      <c r="D47" t="s">
        <v>272</v>
      </c>
      <c r="E47" t="s">
        <v>276</v>
      </c>
      <c r="F47" t="s">
        <v>122</v>
      </c>
      <c r="G47" s="4">
        <v>46167</v>
      </c>
      <c r="H47" s="4">
        <v>46098.767464467594</v>
      </c>
      <c r="I47" t="s">
        <v>277</v>
      </c>
      <c r="J47" t="s">
        <v>126</v>
      </c>
    </row>
    <row r="48" spans="1:10" x14ac:dyDescent="0.35">
      <c r="A48" t="s">
        <v>269</v>
      </c>
      <c r="B48" t="s">
        <v>180</v>
      </c>
      <c r="C48" s="4">
        <v>46103</v>
      </c>
      <c r="D48" t="s">
        <v>271</v>
      </c>
      <c r="E48" t="s">
        <v>276</v>
      </c>
      <c r="F48" t="s">
        <v>121</v>
      </c>
      <c r="G48" s="4">
        <v>46168</v>
      </c>
      <c r="H48" s="4"/>
      <c r="I48" t="s">
        <v>279</v>
      </c>
      <c r="J48" t="s">
        <v>127</v>
      </c>
    </row>
    <row r="49" spans="1:10" x14ac:dyDescent="0.35">
      <c r="A49" t="s">
        <v>236</v>
      </c>
      <c r="B49" t="s">
        <v>181</v>
      </c>
      <c r="C49" s="4">
        <v>46104</v>
      </c>
      <c r="D49" t="s">
        <v>272</v>
      </c>
      <c r="E49" t="s">
        <v>276</v>
      </c>
      <c r="F49" t="s">
        <v>124</v>
      </c>
      <c r="G49" s="4">
        <v>46169</v>
      </c>
      <c r="H49" s="4">
        <v>46051.767464467594</v>
      </c>
      <c r="I49" t="s">
        <v>277</v>
      </c>
      <c r="J49" t="s">
        <v>280</v>
      </c>
    </row>
    <row r="50" spans="1:10" x14ac:dyDescent="0.35">
      <c r="A50" t="s">
        <v>270</v>
      </c>
      <c r="B50" t="s">
        <v>182</v>
      </c>
      <c r="C50" s="4">
        <v>46105</v>
      </c>
      <c r="D50" t="s">
        <v>273</v>
      </c>
      <c r="E50" t="s">
        <v>276</v>
      </c>
      <c r="F50" t="s">
        <v>123</v>
      </c>
      <c r="G50" s="4">
        <v>46170</v>
      </c>
      <c r="I50" t="s">
        <v>279</v>
      </c>
      <c r="J50" t="s">
        <v>127</v>
      </c>
    </row>
    <row r="51" spans="1:10" x14ac:dyDescent="0.35">
      <c r="A51" t="s">
        <v>237</v>
      </c>
      <c r="B51" t="s">
        <v>183</v>
      </c>
      <c r="C51" s="4">
        <v>46106</v>
      </c>
      <c r="D51" t="s">
        <v>273</v>
      </c>
      <c r="E51" t="s">
        <v>276</v>
      </c>
      <c r="F51" t="s">
        <v>124</v>
      </c>
      <c r="G51" s="4">
        <v>46171</v>
      </c>
      <c r="I51" t="s">
        <v>279</v>
      </c>
      <c r="J51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selection activeCell="H10" sqref="H10"/>
    </sheetView>
  </sheetViews>
  <sheetFormatPr defaultRowHeight="14.5" x14ac:dyDescent="0.35"/>
  <cols>
    <col min="2" max="2" width="32.7265625" customWidth="1"/>
    <col min="3" max="3" width="27.54296875" customWidth="1"/>
    <col min="4" max="4" width="15.6328125" customWidth="1"/>
    <col min="5" max="5" width="18.36328125" customWidth="1"/>
    <col min="6" max="6" width="37" customWidth="1"/>
    <col min="7" max="7" width="16.81640625" customWidth="1"/>
    <col min="8" max="8" width="17.6328125" customWidth="1"/>
  </cols>
  <sheetData>
    <row r="1" spans="1:8" x14ac:dyDescent="0.35">
      <c r="A1" t="s">
        <v>281</v>
      </c>
      <c r="B1" t="s">
        <v>13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21</v>
      </c>
    </row>
    <row r="2" spans="1:8" x14ac:dyDescent="0.35">
      <c r="A2" t="s">
        <v>287</v>
      </c>
      <c r="B2" t="s">
        <v>105</v>
      </c>
      <c r="C2" t="s">
        <v>314</v>
      </c>
      <c r="D2" s="4">
        <v>46081.767464467594</v>
      </c>
      <c r="E2" s="4">
        <v>46079.767464467594</v>
      </c>
      <c r="F2" t="s">
        <v>316</v>
      </c>
      <c r="G2" t="s">
        <v>321</v>
      </c>
      <c r="H2" t="s">
        <v>323</v>
      </c>
    </row>
    <row r="3" spans="1:8" x14ac:dyDescent="0.35">
      <c r="A3" t="s">
        <v>288</v>
      </c>
      <c r="B3" t="s">
        <v>109</v>
      </c>
      <c r="C3" t="s">
        <v>315</v>
      </c>
      <c r="D3" s="4">
        <v>46069.767464467594</v>
      </c>
      <c r="E3" s="4">
        <v>46064.767464467594</v>
      </c>
      <c r="F3" t="s">
        <v>317</v>
      </c>
      <c r="G3" t="s">
        <v>321</v>
      </c>
      <c r="H3" t="s">
        <v>323</v>
      </c>
    </row>
    <row r="4" spans="1:8" x14ac:dyDescent="0.35">
      <c r="A4" t="s">
        <v>289</v>
      </c>
      <c r="B4" t="s">
        <v>107</v>
      </c>
      <c r="C4" t="s">
        <v>314</v>
      </c>
      <c r="D4" s="4">
        <v>45994.767464467594</v>
      </c>
      <c r="E4" s="4">
        <v>45995.767464467594</v>
      </c>
      <c r="F4" t="s">
        <v>318</v>
      </c>
      <c r="G4" t="s">
        <v>322</v>
      </c>
      <c r="H4" t="s">
        <v>323</v>
      </c>
    </row>
    <row r="5" spans="1:8" x14ac:dyDescent="0.35">
      <c r="A5" t="s">
        <v>290</v>
      </c>
      <c r="B5" t="s">
        <v>103</v>
      </c>
      <c r="C5" t="s">
        <v>122</v>
      </c>
      <c r="D5" s="4">
        <v>46086.767464467594</v>
      </c>
      <c r="E5" s="4"/>
      <c r="F5" t="s">
        <v>318</v>
      </c>
      <c r="G5" t="s">
        <v>321</v>
      </c>
      <c r="H5" t="s">
        <v>324</v>
      </c>
    </row>
    <row r="6" spans="1:8" x14ac:dyDescent="0.35">
      <c r="A6" t="s">
        <v>291</v>
      </c>
      <c r="B6" t="s">
        <v>110</v>
      </c>
      <c r="C6" t="s">
        <v>314</v>
      </c>
      <c r="D6" s="4">
        <v>46110.767464467594</v>
      </c>
      <c r="E6" s="4">
        <v>46113.767464467594</v>
      </c>
      <c r="F6" t="s">
        <v>317</v>
      </c>
      <c r="G6" t="s">
        <v>321</v>
      </c>
      <c r="H6" t="s">
        <v>323</v>
      </c>
    </row>
    <row r="7" spans="1:8" x14ac:dyDescent="0.35">
      <c r="A7" t="s">
        <v>292</v>
      </c>
      <c r="B7" t="s">
        <v>106</v>
      </c>
      <c r="C7" t="s">
        <v>314</v>
      </c>
      <c r="D7" s="4">
        <v>46013.767464467594</v>
      </c>
      <c r="E7" s="4"/>
      <c r="F7" t="s">
        <v>318</v>
      </c>
      <c r="G7" t="s">
        <v>321</v>
      </c>
      <c r="H7" t="s">
        <v>324</v>
      </c>
    </row>
    <row r="8" spans="1:8" x14ac:dyDescent="0.35">
      <c r="A8" t="s">
        <v>293</v>
      </c>
      <c r="B8" t="s">
        <v>104</v>
      </c>
      <c r="C8" t="s">
        <v>315</v>
      </c>
      <c r="D8" s="4">
        <v>46055.767464467594</v>
      </c>
      <c r="E8" s="4"/>
      <c r="F8" t="s">
        <v>319</v>
      </c>
      <c r="G8" t="s">
        <v>321</v>
      </c>
      <c r="H8" t="s">
        <v>324</v>
      </c>
    </row>
    <row r="9" spans="1:8" x14ac:dyDescent="0.35">
      <c r="A9" t="s">
        <v>294</v>
      </c>
      <c r="B9" t="s">
        <v>108</v>
      </c>
      <c r="C9" t="s">
        <v>314</v>
      </c>
      <c r="D9" s="4">
        <v>46036.767464467594</v>
      </c>
      <c r="E9" s="4">
        <v>46036.767464467594</v>
      </c>
      <c r="F9" t="s">
        <v>317</v>
      </c>
      <c r="G9" t="s">
        <v>321</v>
      </c>
      <c r="H9" t="s">
        <v>323</v>
      </c>
    </row>
    <row r="10" spans="1:8" x14ac:dyDescent="0.35">
      <c r="A10" t="s">
        <v>295</v>
      </c>
      <c r="B10" t="s">
        <v>102</v>
      </c>
      <c r="C10" t="s">
        <v>122</v>
      </c>
      <c r="D10" s="4">
        <v>45959.767464467594</v>
      </c>
      <c r="E10" s="4">
        <v>45965.767464467594</v>
      </c>
      <c r="F10" t="s">
        <v>320</v>
      </c>
      <c r="G10" t="s">
        <v>321</v>
      </c>
      <c r="H10" t="s">
        <v>323</v>
      </c>
    </row>
    <row r="11" spans="1:8" x14ac:dyDescent="0.35">
      <c r="A11" t="s">
        <v>296</v>
      </c>
      <c r="B11" t="s">
        <v>105</v>
      </c>
      <c r="C11" t="s">
        <v>314</v>
      </c>
      <c r="D11" s="4">
        <v>46127.767464467594</v>
      </c>
      <c r="E11" s="4"/>
      <c r="F11" t="s">
        <v>317</v>
      </c>
      <c r="G11" t="s">
        <v>321</v>
      </c>
      <c r="H11" t="s">
        <v>324</v>
      </c>
    </row>
    <row r="12" spans="1:8" x14ac:dyDescent="0.35">
      <c r="A12" t="s">
        <v>297</v>
      </c>
      <c r="B12" t="s">
        <v>109</v>
      </c>
      <c r="C12" t="s">
        <v>122</v>
      </c>
      <c r="D12" s="4">
        <v>46093.767464467594</v>
      </c>
      <c r="E12" s="4">
        <v>46095.767464467594</v>
      </c>
      <c r="F12" t="s">
        <v>318</v>
      </c>
      <c r="G12" t="s">
        <v>322</v>
      </c>
      <c r="H12" t="s">
        <v>323</v>
      </c>
    </row>
    <row r="13" spans="1:8" x14ac:dyDescent="0.35">
      <c r="A13" t="s">
        <v>298</v>
      </c>
      <c r="B13" t="s">
        <v>107</v>
      </c>
      <c r="C13" t="s">
        <v>122</v>
      </c>
      <c r="D13" s="4">
        <v>45967.767464467594</v>
      </c>
      <c r="E13" s="4"/>
      <c r="F13" t="s">
        <v>318</v>
      </c>
      <c r="G13" t="s">
        <v>321</v>
      </c>
      <c r="H13" t="s">
        <v>324</v>
      </c>
    </row>
    <row r="14" spans="1:8" x14ac:dyDescent="0.35">
      <c r="A14" t="s">
        <v>299</v>
      </c>
      <c r="B14" t="s">
        <v>103</v>
      </c>
      <c r="C14" t="s">
        <v>122</v>
      </c>
      <c r="D14" s="4">
        <v>45988.767464467594</v>
      </c>
      <c r="E14" s="4">
        <v>45985.767464467594</v>
      </c>
      <c r="F14" t="s">
        <v>316</v>
      </c>
      <c r="G14" t="s">
        <v>321</v>
      </c>
      <c r="H14" t="s">
        <v>323</v>
      </c>
    </row>
    <row r="15" spans="1:8" x14ac:dyDescent="0.35">
      <c r="A15" t="s">
        <v>300</v>
      </c>
      <c r="B15" t="s">
        <v>110</v>
      </c>
      <c r="C15" t="s">
        <v>122</v>
      </c>
      <c r="D15" s="4">
        <v>46010.767464467594</v>
      </c>
      <c r="E15" s="4">
        <v>46011.767464467594</v>
      </c>
      <c r="F15" t="s">
        <v>316</v>
      </c>
      <c r="G15" t="s">
        <v>322</v>
      </c>
      <c r="H15" t="s">
        <v>323</v>
      </c>
    </row>
    <row r="16" spans="1:8" x14ac:dyDescent="0.35">
      <c r="A16" t="s">
        <v>301</v>
      </c>
      <c r="B16" t="s">
        <v>106</v>
      </c>
      <c r="C16" t="s">
        <v>314</v>
      </c>
      <c r="D16" s="4">
        <v>46117.767464467594</v>
      </c>
      <c r="E16" s="4">
        <v>46127.767464467594</v>
      </c>
      <c r="F16" t="s">
        <v>318</v>
      </c>
      <c r="G16" t="s">
        <v>321</v>
      </c>
      <c r="H16" t="s">
        <v>323</v>
      </c>
    </row>
    <row r="17" spans="1:8" x14ac:dyDescent="0.35">
      <c r="A17" t="s">
        <v>302</v>
      </c>
      <c r="B17" t="s">
        <v>104</v>
      </c>
      <c r="C17" t="s">
        <v>122</v>
      </c>
      <c r="D17" s="4">
        <v>46126.767464467594</v>
      </c>
      <c r="E17" s="4">
        <v>46135.767464467594</v>
      </c>
      <c r="F17" t="s">
        <v>317</v>
      </c>
      <c r="G17" t="s">
        <v>321</v>
      </c>
      <c r="H17" t="s">
        <v>323</v>
      </c>
    </row>
    <row r="18" spans="1:8" x14ac:dyDescent="0.35">
      <c r="A18" t="s">
        <v>303</v>
      </c>
      <c r="B18" t="s">
        <v>108</v>
      </c>
      <c r="C18" t="s">
        <v>122</v>
      </c>
      <c r="D18" s="4">
        <v>46014.767464467594</v>
      </c>
      <c r="E18" s="4">
        <v>46024.767464467594</v>
      </c>
      <c r="F18" t="s">
        <v>318</v>
      </c>
      <c r="G18" t="s">
        <v>321</v>
      </c>
      <c r="H18" t="s">
        <v>323</v>
      </c>
    </row>
    <row r="19" spans="1:8" x14ac:dyDescent="0.35">
      <c r="A19" t="s">
        <v>304</v>
      </c>
      <c r="B19" t="s">
        <v>102</v>
      </c>
      <c r="C19" t="s">
        <v>315</v>
      </c>
      <c r="D19" s="4">
        <v>46038.767464467594</v>
      </c>
      <c r="E19" s="4">
        <v>46036.767464467594</v>
      </c>
      <c r="F19" t="s">
        <v>316</v>
      </c>
      <c r="G19" t="s">
        <v>321</v>
      </c>
      <c r="H19" t="s">
        <v>323</v>
      </c>
    </row>
    <row r="20" spans="1:8" x14ac:dyDescent="0.35">
      <c r="A20" t="s">
        <v>305</v>
      </c>
      <c r="B20" t="s">
        <v>105</v>
      </c>
      <c r="C20" t="s">
        <v>122</v>
      </c>
      <c r="D20" s="4">
        <v>46018.767464467594</v>
      </c>
      <c r="E20" s="4">
        <v>46014.767464467594</v>
      </c>
      <c r="F20" t="s">
        <v>319</v>
      </c>
      <c r="G20" t="s">
        <v>322</v>
      </c>
      <c r="H20" t="s">
        <v>323</v>
      </c>
    </row>
    <row r="21" spans="1:8" x14ac:dyDescent="0.35">
      <c r="A21" t="s">
        <v>306</v>
      </c>
      <c r="B21" t="s">
        <v>109</v>
      </c>
      <c r="C21" t="s">
        <v>314</v>
      </c>
      <c r="D21" s="4">
        <v>46026.767464467594</v>
      </c>
      <c r="E21" s="4">
        <v>46029.767464467594</v>
      </c>
      <c r="F21" t="s">
        <v>318</v>
      </c>
      <c r="G21" t="s">
        <v>321</v>
      </c>
      <c r="H21" t="s">
        <v>323</v>
      </c>
    </row>
    <row r="22" spans="1:8" x14ac:dyDescent="0.35">
      <c r="A22" t="s">
        <v>307</v>
      </c>
      <c r="B22" t="s">
        <v>107</v>
      </c>
      <c r="C22" t="s">
        <v>315</v>
      </c>
      <c r="D22" s="4">
        <v>46043.767464467594</v>
      </c>
      <c r="E22" s="4"/>
      <c r="F22" t="s">
        <v>316</v>
      </c>
      <c r="G22" t="s">
        <v>322</v>
      </c>
      <c r="H22" t="s">
        <v>324</v>
      </c>
    </row>
    <row r="23" spans="1:8" x14ac:dyDescent="0.35">
      <c r="A23" t="s">
        <v>308</v>
      </c>
      <c r="B23" t="s">
        <v>103</v>
      </c>
      <c r="C23" t="s">
        <v>122</v>
      </c>
      <c r="D23" s="4">
        <v>45971.767464467594</v>
      </c>
      <c r="E23" s="4">
        <v>45977.767464467594</v>
      </c>
      <c r="F23" t="s">
        <v>316</v>
      </c>
      <c r="G23" t="s">
        <v>322</v>
      </c>
      <c r="H23" t="s">
        <v>323</v>
      </c>
    </row>
    <row r="24" spans="1:8" x14ac:dyDescent="0.35">
      <c r="A24" t="s">
        <v>309</v>
      </c>
      <c r="B24" t="s">
        <v>110</v>
      </c>
      <c r="C24" t="s">
        <v>314</v>
      </c>
      <c r="D24" s="4">
        <v>45968.767464467594</v>
      </c>
      <c r="E24" s="4"/>
      <c r="F24" t="s">
        <v>317</v>
      </c>
      <c r="G24" t="s">
        <v>321</v>
      </c>
      <c r="H24" t="s">
        <v>324</v>
      </c>
    </row>
    <row r="25" spans="1:8" x14ac:dyDescent="0.35">
      <c r="A25" t="s">
        <v>310</v>
      </c>
      <c r="B25" t="s">
        <v>106</v>
      </c>
      <c r="C25" t="s">
        <v>315</v>
      </c>
      <c r="D25" s="4">
        <v>46069.767464467594</v>
      </c>
      <c r="E25" s="4"/>
      <c r="F25" t="s">
        <v>318</v>
      </c>
      <c r="G25" t="s">
        <v>322</v>
      </c>
      <c r="H25" t="s">
        <v>324</v>
      </c>
    </row>
    <row r="26" spans="1:8" x14ac:dyDescent="0.35">
      <c r="A26" t="s">
        <v>311</v>
      </c>
      <c r="B26" t="s">
        <v>104</v>
      </c>
      <c r="C26" t="s">
        <v>314</v>
      </c>
      <c r="D26" s="4">
        <v>45969.767464467594</v>
      </c>
      <c r="E26" s="4">
        <v>45977.767464467594</v>
      </c>
      <c r="F26" t="s">
        <v>316</v>
      </c>
      <c r="G26" t="s">
        <v>321</v>
      </c>
      <c r="H26" t="s">
        <v>323</v>
      </c>
    </row>
    <row r="27" spans="1:8" x14ac:dyDescent="0.35">
      <c r="A27" t="s">
        <v>312</v>
      </c>
      <c r="B27" t="s">
        <v>108</v>
      </c>
      <c r="C27" t="s">
        <v>122</v>
      </c>
      <c r="D27" s="4">
        <v>46058.767464467594</v>
      </c>
      <c r="E27" s="4">
        <v>46064.767464467594</v>
      </c>
      <c r="F27" t="s">
        <v>317</v>
      </c>
      <c r="G27" t="s">
        <v>322</v>
      </c>
      <c r="H27" t="s">
        <v>323</v>
      </c>
    </row>
    <row r="28" spans="1:8" x14ac:dyDescent="0.35">
      <c r="A28" t="s">
        <v>313</v>
      </c>
      <c r="B28" t="s">
        <v>102</v>
      </c>
      <c r="C28" t="s">
        <v>314</v>
      </c>
      <c r="D28" s="4">
        <v>46059.767464467594</v>
      </c>
      <c r="E28" s="4"/>
      <c r="F28" t="s">
        <v>317</v>
      </c>
      <c r="G28" t="s">
        <v>322</v>
      </c>
      <c r="H28" t="s">
        <v>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activeCell="C19" sqref="C19"/>
    </sheetView>
  </sheetViews>
  <sheetFormatPr defaultRowHeight="14.5" x14ac:dyDescent="0.35"/>
  <cols>
    <col min="2" max="2" width="31.08984375" customWidth="1"/>
    <col min="3" max="3" width="23.1796875" customWidth="1"/>
    <col min="5" max="5" width="17.7265625" customWidth="1"/>
    <col min="6" max="6" width="19.54296875" customWidth="1"/>
  </cols>
  <sheetData>
    <row r="1" spans="1:7" x14ac:dyDescent="0.35">
      <c r="A1" t="s">
        <v>325</v>
      </c>
      <c r="B1" t="s">
        <v>326</v>
      </c>
      <c r="C1" t="s">
        <v>18</v>
      </c>
      <c r="D1" t="s">
        <v>327</v>
      </c>
      <c r="E1" t="s">
        <v>328</v>
      </c>
      <c r="F1" t="s">
        <v>329</v>
      </c>
      <c r="G1" t="s">
        <v>21</v>
      </c>
    </row>
    <row r="2" spans="1:7" x14ac:dyDescent="0.35">
      <c r="A2" t="s">
        <v>330</v>
      </c>
      <c r="B2" t="s">
        <v>340</v>
      </c>
      <c r="C2" t="s">
        <v>350</v>
      </c>
      <c r="D2">
        <v>2</v>
      </c>
      <c r="E2" s="4">
        <v>45887.767464467594</v>
      </c>
      <c r="F2" s="4">
        <v>46252.767464467594</v>
      </c>
      <c r="G2" t="s">
        <v>351</v>
      </c>
    </row>
    <row r="3" spans="1:7" x14ac:dyDescent="0.35">
      <c r="A3" t="s">
        <v>331</v>
      </c>
      <c r="B3" t="s">
        <v>341</v>
      </c>
      <c r="C3" t="s">
        <v>350</v>
      </c>
      <c r="D3">
        <v>5</v>
      </c>
      <c r="E3" s="4">
        <v>45780.767464467594</v>
      </c>
      <c r="F3" s="4">
        <v>46145.767464467594</v>
      </c>
      <c r="G3" t="s">
        <v>352</v>
      </c>
    </row>
    <row r="4" spans="1:7" x14ac:dyDescent="0.35">
      <c r="A4" t="s">
        <v>332</v>
      </c>
      <c r="B4" t="s">
        <v>342</v>
      </c>
      <c r="C4" t="s">
        <v>121</v>
      </c>
      <c r="D4">
        <v>5</v>
      </c>
      <c r="E4" s="4">
        <v>45922.767464467594</v>
      </c>
      <c r="F4" s="4">
        <v>46287.767464467594</v>
      </c>
      <c r="G4" t="s">
        <v>352</v>
      </c>
    </row>
    <row r="5" spans="1:7" x14ac:dyDescent="0.35">
      <c r="A5" t="s">
        <v>333</v>
      </c>
      <c r="B5" t="s">
        <v>343</v>
      </c>
      <c r="C5" t="s">
        <v>121</v>
      </c>
      <c r="D5">
        <v>5</v>
      </c>
      <c r="E5" s="4">
        <v>45839.767464467594</v>
      </c>
      <c r="F5" s="4">
        <v>46204.767464467594</v>
      </c>
      <c r="G5" t="s">
        <v>351</v>
      </c>
    </row>
    <row r="6" spans="1:7" x14ac:dyDescent="0.35">
      <c r="A6" t="s">
        <v>334</v>
      </c>
      <c r="B6" t="s">
        <v>344</v>
      </c>
      <c r="C6" t="s">
        <v>121</v>
      </c>
      <c r="D6">
        <v>5</v>
      </c>
      <c r="E6" s="4">
        <v>45841.767464467594</v>
      </c>
      <c r="F6" s="4">
        <v>46206.767464467594</v>
      </c>
      <c r="G6" t="s">
        <v>351</v>
      </c>
    </row>
    <row r="7" spans="1:7" x14ac:dyDescent="0.35">
      <c r="A7" t="s">
        <v>335</v>
      </c>
      <c r="B7" t="s">
        <v>345</v>
      </c>
      <c r="C7" t="s">
        <v>121</v>
      </c>
      <c r="D7">
        <v>3</v>
      </c>
      <c r="E7" s="4">
        <v>45924.767464467594</v>
      </c>
      <c r="F7" s="4">
        <v>46289.767464467594</v>
      </c>
      <c r="G7" t="s">
        <v>351</v>
      </c>
    </row>
    <row r="8" spans="1:7" x14ac:dyDescent="0.35">
      <c r="A8" t="s">
        <v>336</v>
      </c>
      <c r="B8" t="s">
        <v>346</v>
      </c>
      <c r="C8" t="s">
        <v>121</v>
      </c>
      <c r="D8">
        <v>1</v>
      </c>
      <c r="E8" s="4">
        <v>46000.767464467594</v>
      </c>
      <c r="F8" s="4">
        <v>46365.767464467594</v>
      </c>
      <c r="G8" t="s">
        <v>351</v>
      </c>
    </row>
    <row r="9" spans="1:7" x14ac:dyDescent="0.35">
      <c r="A9" t="s">
        <v>337</v>
      </c>
      <c r="B9" t="s">
        <v>347</v>
      </c>
      <c r="C9" t="s">
        <v>122</v>
      </c>
      <c r="D9">
        <v>2</v>
      </c>
      <c r="E9" s="4">
        <v>45871.767464467594</v>
      </c>
      <c r="F9" s="4">
        <v>46236.767464467594</v>
      </c>
      <c r="G9" t="s">
        <v>352</v>
      </c>
    </row>
    <row r="10" spans="1:7" x14ac:dyDescent="0.35">
      <c r="A10" t="s">
        <v>338</v>
      </c>
      <c r="B10" t="s">
        <v>348</v>
      </c>
      <c r="C10" t="s">
        <v>122</v>
      </c>
      <c r="D10">
        <v>1</v>
      </c>
      <c r="E10" s="4">
        <v>45932.767464467594</v>
      </c>
      <c r="F10" s="4">
        <v>46297.767464467594</v>
      </c>
      <c r="G10" t="s">
        <v>351</v>
      </c>
    </row>
    <row r="11" spans="1:7" x14ac:dyDescent="0.35">
      <c r="A11" t="s">
        <v>339</v>
      </c>
      <c r="B11" t="s">
        <v>349</v>
      </c>
      <c r="C11" t="s">
        <v>122</v>
      </c>
      <c r="D11">
        <v>2</v>
      </c>
      <c r="E11" s="4">
        <v>45809.767464467594</v>
      </c>
      <c r="F11" s="4">
        <v>46174.767464467594</v>
      </c>
      <c r="G11" t="s">
        <v>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1"/>
  <sheetViews>
    <sheetView workbookViewId="0">
      <selection activeCell="I9" sqref="I9"/>
    </sheetView>
  </sheetViews>
  <sheetFormatPr defaultRowHeight="14.5" x14ac:dyDescent="0.35"/>
  <cols>
    <col min="1" max="1" width="22" customWidth="1"/>
    <col min="3" max="3" width="26.6328125" customWidth="1"/>
    <col min="4" max="4" width="14.7265625" customWidth="1"/>
    <col min="5" max="5" width="14.453125" customWidth="1"/>
    <col min="6" max="6" width="16.08984375" customWidth="1"/>
    <col min="7" max="7" width="18.81640625" customWidth="1"/>
  </cols>
  <sheetData>
    <row r="1" spans="1:7" x14ac:dyDescent="0.35">
      <c r="A1" t="s">
        <v>353</v>
      </c>
      <c r="B1" t="s">
        <v>354</v>
      </c>
      <c r="C1" t="s">
        <v>355</v>
      </c>
      <c r="D1" t="s">
        <v>356</v>
      </c>
      <c r="E1" t="s">
        <v>357</v>
      </c>
      <c r="F1" t="s">
        <v>358</v>
      </c>
      <c r="G1" t="s">
        <v>21</v>
      </c>
    </row>
    <row r="2" spans="1:7" x14ac:dyDescent="0.35">
      <c r="A2" t="s">
        <v>359</v>
      </c>
      <c r="B2" t="s">
        <v>368</v>
      </c>
      <c r="C2" t="s">
        <v>373</v>
      </c>
      <c r="D2" t="s">
        <v>379</v>
      </c>
      <c r="E2" s="4">
        <v>46038.767464467594</v>
      </c>
      <c r="F2" s="4">
        <v>46403.767464467594</v>
      </c>
      <c r="G2" t="s">
        <v>383</v>
      </c>
    </row>
    <row r="3" spans="1:7" x14ac:dyDescent="0.35">
      <c r="A3" t="s">
        <v>360</v>
      </c>
      <c r="B3" t="s">
        <v>368</v>
      </c>
      <c r="C3" t="s">
        <v>374</v>
      </c>
      <c r="D3" t="s">
        <v>380</v>
      </c>
      <c r="E3" s="4">
        <v>45797.767464467594</v>
      </c>
      <c r="F3" s="4">
        <v>46527.767464467594</v>
      </c>
      <c r="G3" t="s">
        <v>383</v>
      </c>
    </row>
    <row r="4" spans="1:7" x14ac:dyDescent="0.35">
      <c r="A4" t="s">
        <v>361</v>
      </c>
      <c r="B4" t="s">
        <v>368</v>
      </c>
      <c r="C4" t="s">
        <v>375</v>
      </c>
      <c r="D4" t="s">
        <v>381</v>
      </c>
      <c r="E4" s="4">
        <v>45593.767464467594</v>
      </c>
      <c r="F4" s="4">
        <v>46323.767464467594</v>
      </c>
      <c r="G4" t="s">
        <v>383</v>
      </c>
    </row>
    <row r="5" spans="1:7" x14ac:dyDescent="0.35">
      <c r="A5" t="s">
        <v>359</v>
      </c>
      <c r="B5" t="s">
        <v>369</v>
      </c>
      <c r="C5" t="s">
        <v>376</v>
      </c>
      <c r="D5" t="s">
        <v>381</v>
      </c>
      <c r="E5" s="4">
        <v>45578.767464467594</v>
      </c>
      <c r="F5" s="4">
        <v>45943.767464467594</v>
      </c>
      <c r="G5" t="s">
        <v>384</v>
      </c>
    </row>
    <row r="6" spans="1:7" x14ac:dyDescent="0.35">
      <c r="A6" t="s">
        <v>362</v>
      </c>
      <c r="B6" t="s">
        <v>368</v>
      </c>
      <c r="C6" t="s">
        <v>376</v>
      </c>
      <c r="D6" t="s">
        <v>380</v>
      </c>
      <c r="E6" s="4">
        <v>46004.767464467594</v>
      </c>
      <c r="F6" s="4">
        <v>46369.767464467594</v>
      </c>
      <c r="G6" t="s">
        <v>383</v>
      </c>
    </row>
    <row r="7" spans="1:7" x14ac:dyDescent="0.35">
      <c r="A7" t="s">
        <v>363</v>
      </c>
      <c r="B7" t="s">
        <v>370</v>
      </c>
      <c r="C7" t="s">
        <v>374</v>
      </c>
      <c r="D7" t="s">
        <v>382</v>
      </c>
      <c r="E7" s="4">
        <v>45585.767464467594</v>
      </c>
      <c r="F7" s="4">
        <v>45950.767464467594</v>
      </c>
      <c r="G7" t="s">
        <v>384</v>
      </c>
    </row>
    <row r="8" spans="1:7" x14ac:dyDescent="0.35">
      <c r="A8" t="s">
        <v>363</v>
      </c>
      <c r="B8" t="s">
        <v>368</v>
      </c>
      <c r="C8" t="s">
        <v>377</v>
      </c>
      <c r="D8" t="s">
        <v>382</v>
      </c>
      <c r="E8" s="4">
        <v>45711.767464467594</v>
      </c>
      <c r="F8" s="4">
        <v>46076.767464467594</v>
      </c>
      <c r="G8" t="s">
        <v>383</v>
      </c>
    </row>
    <row r="9" spans="1:7" x14ac:dyDescent="0.35">
      <c r="A9" t="s">
        <v>359</v>
      </c>
      <c r="B9" t="s">
        <v>369</v>
      </c>
      <c r="C9" t="s">
        <v>373</v>
      </c>
      <c r="D9" t="s">
        <v>382</v>
      </c>
      <c r="E9" s="4">
        <v>45837.767464467594</v>
      </c>
      <c r="F9" s="4">
        <v>46567.767464467594</v>
      </c>
      <c r="G9" t="s">
        <v>383</v>
      </c>
    </row>
    <row r="10" spans="1:7" x14ac:dyDescent="0.35">
      <c r="A10" t="s">
        <v>359</v>
      </c>
      <c r="B10" t="s">
        <v>370</v>
      </c>
      <c r="C10" t="s">
        <v>378</v>
      </c>
      <c r="D10" t="s">
        <v>382</v>
      </c>
      <c r="E10" s="4">
        <v>45376.767464467594</v>
      </c>
      <c r="F10" s="4">
        <v>45741.767464467594</v>
      </c>
      <c r="G10" t="s">
        <v>384</v>
      </c>
    </row>
    <row r="11" spans="1:7" x14ac:dyDescent="0.35">
      <c r="A11" t="s">
        <v>364</v>
      </c>
      <c r="B11" t="s">
        <v>370</v>
      </c>
      <c r="C11" t="s">
        <v>378</v>
      </c>
      <c r="D11" t="s">
        <v>380</v>
      </c>
      <c r="E11" s="4">
        <v>45718.767464467594</v>
      </c>
      <c r="F11" s="4">
        <v>46083.767464467594</v>
      </c>
      <c r="G11" t="s">
        <v>383</v>
      </c>
    </row>
    <row r="12" spans="1:7" x14ac:dyDescent="0.35">
      <c r="A12" t="s">
        <v>365</v>
      </c>
      <c r="B12" t="s">
        <v>368</v>
      </c>
      <c r="C12" t="s">
        <v>374</v>
      </c>
      <c r="D12" t="s">
        <v>382</v>
      </c>
      <c r="E12" s="4">
        <v>45987.767464467594</v>
      </c>
      <c r="F12" s="4">
        <v>46717.767464467594</v>
      </c>
      <c r="G12" t="s">
        <v>383</v>
      </c>
    </row>
    <row r="13" spans="1:7" x14ac:dyDescent="0.35">
      <c r="A13" t="s">
        <v>359</v>
      </c>
      <c r="B13" t="s">
        <v>370</v>
      </c>
      <c r="C13" t="s">
        <v>378</v>
      </c>
      <c r="D13" t="s">
        <v>380</v>
      </c>
      <c r="E13" s="4">
        <v>45351.767464467594</v>
      </c>
      <c r="F13" s="4">
        <v>46081.767464467594</v>
      </c>
      <c r="G13" t="s">
        <v>383</v>
      </c>
    </row>
    <row r="14" spans="1:7" x14ac:dyDescent="0.35">
      <c r="A14" t="s">
        <v>366</v>
      </c>
      <c r="B14" t="s">
        <v>371</v>
      </c>
      <c r="C14" t="s">
        <v>374</v>
      </c>
      <c r="D14" t="s">
        <v>382</v>
      </c>
      <c r="E14" s="4">
        <v>45427.767464467594</v>
      </c>
      <c r="F14" s="4">
        <v>46157.767464467594</v>
      </c>
      <c r="G14" t="s">
        <v>383</v>
      </c>
    </row>
    <row r="15" spans="1:7" x14ac:dyDescent="0.35">
      <c r="A15" t="s">
        <v>364</v>
      </c>
      <c r="B15" t="s">
        <v>371</v>
      </c>
      <c r="C15" t="s">
        <v>375</v>
      </c>
      <c r="D15" t="s">
        <v>380</v>
      </c>
      <c r="E15" s="4">
        <v>45706.767464467594</v>
      </c>
      <c r="F15" s="4">
        <v>46436.767464467594</v>
      </c>
      <c r="G15" t="s">
        <v>383</v>
      </c>
    </row>
    <row r="16" spans="1:7" x14ac:dyDescent="0.35">
      <c r="A16" t="s">
        <v>362</v>
      </c>
      <c r="B16" t="s">
        <v>370</v>
      </c>
      <c r="C16" t="s">
        <v>373</v>
      </c>
      <c r="D16" t="s">
        <v>380</v>
      </c>
      <c r="E16" s="4">
        <v>45443.767464467594</v>
      </c>
      <c r="F16" s="4">
        <v>46173.767464467594</v>
      </c>
      <c r="G16" t="s">
        <v>383</v>
      </c>
    </row>
    <row r="17" spans="1:7" x14ac:dyDescent="0.35">
      <c r="A17" t="s">
        <v>363</v>
      </c>
      <c r="B17" t="s">
        <v>368</v>
      </c>
      <c r="C17" t="s">
        <v>376</v>
      </c>
      <c r="D17" t="s">
        <v>381</v>
      </c>
      <c r="E17" s="4">
        <v>45999.767464467594</v>
      </c>
      <c r="F17" s="4">
        <v>46364.767464467594</v>
      </c>
      <c r="G17" t="s">
        <v>383</v>
      </c>
    </row>
    <row r="18" spans="1:7" x14ac:dyDescent="0.35">
      <c r="A18" t="s">
        <v>363</v>
      </c>
      <c r="B18" t="s">
        <v>372</v>
      </c>
      <c r="C18" t="s">
        <v>377</v>
      </c>
      <c r="D18" t="s">
        <v>381</v>
      </c>
      <c r="E18" s="4">
        <v>45625.767464467594</v>
      </c>
      <c r="F18" s="4">
        <v>45990.767464467594</v>
      </c>
      <c r="G18" t="s">
        <v>384</v>
      </c>
    </row>
    <row r="19" spans="1:7" x14ac:dyDescent="0.35">
      <c r="A19" t="s">
        <v>361</v>
      </c>
      <c r="B19" t="s">
        <v>371</v>
      </c>
      <c r="C19" t="s">
        <v>378</v>
      </c>
      <c r="D19" t="s">
        <v>379</v>
      </c>
      <c r="E19" s="4">
        <v>45708.767464467594</v>
      </c>
      <c r="F19" s="4">
        <v>46073.767464467594</v>
      </c>
      <c r="G19" t="s">
        <v>384</v>
      </c>
    </row>
    <row r="20" spans="1:7" x14ac:dyDescent="0.35">
      <c r="A20" t="s">
        <v>363</v>
      </c>
      <c r="B20" t="s">
        <v>368</v>
      </c>
      <c r="C20" t="s">
        <v>375</v>
      </c>
      <c r="D20" t="s">
        <v>381</v>
      </c>
      <c r="E20" s="4">
        <v>45754.767464467594</v>
      </c>
      <c r="F20" s="4">
        <v>46484.767464467594</v>
      </c>
      <c r="G20" t="s">
        <v>383</v>
      </c>
    </row>
    <row r="21" spans="1:7" x14ac:dyDescent="0.35">
      <c r="A21" t="s">
        <v>364</v>
      </c>
      <c r="B21" t="s">
        <v>369</v>
      </c>
      <c r="C21" t="s">
        <v>374</v>
      </c>
      <c r="D21" t="s">
        <v>381</v>
      </c>
      <c r="E21" s="4">
        <v>45999.767464467594</v>
      </c>
      <c r="F21" s="4">
        <v>46729.767464467594</v>
      </c>
      <c r="G21" t="s">
        <v>383</v>
      </c>
    </row>
    <row r="22" spans="1:7" x14ac:dyDescent="0.35">
      <c r="A22" t="s">
        <v>361</v>
      </c>
      <c r="B22" t="s">
        <v>370</v>
      </c>
      <c r="C22" t="s">
        <v>375</v>
      </c>
      <c r="D22" t="s">
        <v>382</v>
      </c>
      <c r="E22" s="4">
        <v>46000.767464467594</v>
      </c>
      <c r="F22" s="4">
        <v>46730.767464467594</v>
      </c>
      <c r="G22" t="s">
        <v>383</v>
      </c>
    </row>
    <row r="23" spans="1:7" x14ac:dyDescent="0.35">
      <c r="A23" t="s">
        <v>365</v>
      </c>
      <c r="B23" t="s">
        <v>370</v>
      </c>
      <c r="C23" t="s">
        <v>377</v>
      </c>
      <c r="D23" t="s">
        <v>381</v>
      </c>
      <c r="E23" s="4">
        <v>45842.767464467594</v>
      </c>
      <c r="F23" s="4">
        <v>46207.767464467594</v>
      </c>
      <c r="G23" t="s">
        <v>383</v>
      </c>
    </row>
    <row r="24" spans="1:7" x14ac:dyDescent="0.35">
      <c r="A24" t="s">
        <v>366</v>
      </c>
      <c r="B24" t="s">
        <v>370</v>
      </c>
      <c r="C24" t="s">
        <v>374</v>
      </c>
      <c r="D24" t="s">
        <v>379</v>
      </c>
      <c r="E24" s="4">
        <v>45602.767464467594</v>
      </c>
      <c r="F24" s="4">
        <v>45967.767464467594</v>
      </c>
      <c r="G24" t="s">
        <v>384</v>
      </c>
    </row>
    <row r="25" spans="1:7" x14ac:dyDescent="0.35">
      <c r="A25" t="s">
        <v>362</v>
      </c>
      <c r="B25" t="s">
        <v>368</v>
      </c>
      <c r="C25" t="s">
        <v>377</v>
      </c>
      <c r="D25" t="s">
        <v>382</v>
      </c>
      <c r="E25" s="4">
        <v>45415.767464467594</v>
      </c>
      <c r="F25" s="4">
        <v>45780.767464467594</v>
      </c>
      <c r="G25" t="s">
        <v>384</v>
      </c>
    </row>
    <row r="26" spans="1:7" x14ac:dyDescent="0.35">
      <c r="A26" t="s">
        <v>362</v>
      </c>
      <c r="B26" t="s">
        <v>370</v>
      </c>
      <c r="C26" t="s">
        <v>374</v>
      </c>
      <c r="D26" t="s">
        <v>379</v>
      </c>
      <c r="E26" s="4">
        <v>45736.767464467594</v>
      </c>
      <c r="F26" s="4">
        <v>46101.767464467594</v>
      </c>
      <c r="G26" t="s">
        <v>383</v>
      </c>
    </row>
    <row r="27" spans="1:7" x14ac:dyDescent="0.35">
      <c r="A27" t="s">
        <v>359</v>
      </c>
      <c r="B27" t="s">
        <v>368</v>
      </c>
      <c r="C27" t="s">
        <v>377</v>
      </c>
      <c r="D27" t="s">
        <v>381</v>
      </c>
      <c r="E27" s="4">
        <v>46005.767464467594</v>
      </c>
      <c r="F27" s="4">
        <v>46370.767464467594</v>
      </c>
      <c r="G27" t="s">
        <v>383</v>
      </c>
    </row>
    <row r="28" spans="1:7" x14ac:dyDescent="0.35">
      <c r="A28" t="s">
        <v>364</v>
      </c>
      <c r="B28" t="s">
        <v>369</v>
      </c>
      <c r="C28" t="s">
        <v>375</v>
      </c>
      <c r="D28" t="s">
        <v>379</v>
      </c>
      <c r="E28" s="4">
        <v>45733.767464467594</v>
      </c>
      <c r="F28" s="4">
        <v>46463.767464467594</v>
      </c>
      <c r="G28" t="s">
        <v>383</v>
      </c>
    </row>
    <row r="29" spans="1:7" x14ac:dyDescent="0.35">
      <c r="A29" t="s">
        <v>359</v>
      </c>
      <c r="B29" t="s">
        <v>368</v>
      </c>
      <c r="C29" t="s">
        <v>373</v>
      </c>
      <c r="D29" t="s">
        <v>382</v>
      </c>
      <c r="E29" s="4">
        <v>45840.767464467594</v>
      </c>
      <c r="F29" s="4">
        <v>46570.767464467594</v>
      </c>
      <c r="G29" t="s">
        <v>383</v>
      </c>
    </row>
    <row r="30" spans="1:7" x14ac:dyDescent="0.35">
      <c r="A30" t="s">
        <v>367</v>
      </c>
      <c r="B30" t="s">
        <v>369</v>
      </c>
      <c r="C30" t="s">
        <v>373</v>
      </c>
      <c r="D30" t="s">
        <v>379</v>
      </c>
      <c r="E30" s="4">
        <v>45403.767464467594</v>
      </c>
      <c r="F30" s="4">
        <v>46133.767464467594</v>
      </c>
      <c r="G30" t="s">
        <v>383</v>
      </c>
    </row>
    <row r="31" spans="1:7" x14ac:dyDescent="0.35">
      <c r="A31" t="s">
        <v>367</v>
      </c>
      <c r="B31" t="s">
        <v>371</v>
      </c>
      <c r="C31" t="s">
        <v>378</v>
      </c>
      <c r="D31" t="s">
        <v>382</v>
      </c>
      <c r="E31" s="4">
        <v>45655.767464467594</v>
      </c>
      <c r="F31" s="4">
        <v>46385.767464467594</v>
      </c>
      <c r="G31" t="s">
        <v>383</v>
      </c>
    </row>
    <row r="32" spans="1:7" x14ac:dyDescent="0.35">
      <c r="A32" t="s">
        <v>365</v>
      </c>
      <c r="B32" t="s">
        <v>370</v>
      </c>
      <c r="C32" t="s">
        <v>374</v>
      </c>
      <c r="D32" t="s">
        <v>381</v>
      </c>
      <c r="E32" s="4">
        <v>46008.767464467594</v>
      </c>
      <c r="F32" s="4">
        <v>46738.767464467594</v>
      </c>
      <c r="G32" t="s">
        <v>383</v>
      </c>
    </row>
    <row r="33" spans="1:7" x14ac:dyDescent="0.35">
      <c r="A33" t="s">
        <v>360</v>
      </c>
      <c r="B33" t="s">
        <v>368</v>
      </c>
      <c r="C33" t="s">
        <v>374</v>
      </c>
      <c r="D33" t="s">
        <v>379</v>
      </c>
      <c r="E33" s="4">
        <v>45898.767464467594</v>
      </c>
      <c r="F33" s="4">
        <v>46263.767464467594</v>
      </c>
      <c r="G33" t="s">
        <v>383</v>
      </c>
    </row>
    <row r="34" spans="1:7" x14ac:dyDescent="0.35">
      <c r="A34" t="s">
        <v>362</v>
      </c>
      <c r="B34" t="s">
        <v>370</v>
      </c>
      <c r="C34" t="s">
        <v>373</v>
      </c>
      <c r="D34" t="s">
        <v>379</v>
      </c>
      <c r="E34" s="4">
        <v>45954.767464467594</v>
      </c>
      <c r="F34" s="4">
        <v>46684.767464467594</v>
      </c>
      <c r="G34" t="s">
        <v>383</v>
      </c>
    </row>
    <row r="35" spans="1:7" x14ac:dyDescent="0.35">
      <c r="A35" t="s">
        <v>361</v>
      </c>
      <c r="B35" t="s">
        <v>369</v>
      </c>
      <c r="C35" t="s">
        <v>377</v>
      </c>
      <c r="D35" t="s">
        <v>380</v>
      </c>
      <c r="E35" s="4">
        <v>45471.767464467594</v>
      </c>
      <c r="F35" s="4">
        <v>46201.767464467594</v>
      </c>
      <c r="G35" t="s">
        <v>383</v>
      </c>
    </row>
    <row r="36" spans="1:7" x14ac:dyDescent="0.35">
      <c r="A36" t="s">
        <v>359</v>
      </c>
      <c r="B36" t="s">
        <v>368</v>
      </c>
      <c r="C36" t="s">
        <v>378</v>
      </c>
      <c r="D36" t="s">
        <v>379</v>
      </c>
      <c r="E36" s="4">
        <v>45828.767464467594</v>
      </c>
      <c r="F36" s="4">
        <v>46193.767464467594</v>
      </c>
      <c r="G36" t="s">
        <v>383</v>
      </c>
    </row>
    <row r="37" spans="1:7" x14ac:dyDescent="0.35">
      <c r="A37" t="s">
        <v>366</v>
      </c>
      <c r="B37" t="s">
        <v>372</v>
      </c>
      <c r="C37" t="s">
        <v>374</v>
      </c>
      <c r="D37" t="s">
        <v>381</v>
      </c>
      <c r="E37" s="4">
        <v>45834.767464467594</v>
      </c>
      <c r="F37" s="4">
        <v>46564.767464467594</v>
      </c>
      <c r="G37" t="s">
        <v>383</v>
      </c>
    </row>
    <row r="38" spans="1:7" x14ac:dyDescent="0.35">
      <c r="A38" t="s">
        <v>361</v>
      </c>
      <c r="B38" t="s">
        <v>368</v>
      </c>
      <c r="C38" t="s">
        <v>374</v>
      </c>
      <c r="D38" t="s">
        <v>380</v>
      </c>
      <c r="E38" s="4">
        <v>45378.767464467594</v>
      </c>
      <c r="F38" s="4">
        <v>46108.767464467594</v>
      </c>
      <c r="G38" t="s">
        <v>383</v>
      </c>
    </row>
    <row r="39" spans="1:7" x14ac:dyDescent="0.35">
      <c r="A39" t="s">
        <v>367</v>
      </c>
      <c r="B39" t="s">
        <v>370</v>
      </c>
      <c r="C39" t="s">
        <v>375</v>
      </c>
      <c r="D39" t="s">
        <v>382</v>
      </c>
      <c r="E39" s="4">
        <v>45550.767464467594</v>
      </c>
      <c r="F39" s="4">
        <v>45915.767464467594</v>
      </c>
      <c r="G39" t="s">
        <v>384</v>
      </c>
    </row>
    <row r="40" spans="1:7" x14ac:dyDescent="0.35">
      <c r="A40" t="s">
        <v>359</v>
      </c>
      <c r="B40" t="s">
        <v>369</v>
      </c>
      <c r="C40" t="s">
        <v>374</v>
      </c>
      <c r="D40" t="s">
        <v>381</v>
      </c>
      <c r="E40" s="4">
        <v>45783.767464467594</v>
      </c>
      <c r="F40" s="4">
        <v>46513.767464467594</v>
      </c>
      <c r="G40" t="s">
        <v>383</v>
      </c>
    </row>
    <row r="41" spans="1:7" x14ac:dyDescent="0.35">
      <c r="A41" t="s">
        <v>364</v>
      </c>
      <c r="B41" t="s">
        <v>371</v>
      </c>
      <c r="C41" t="s">
        <v>378</v>
      </c>
      <c r="D41" t="s">
        <v>381</v>
      </c>
      <c r="E41" s="4">
        <v>46021.767464467594</v>
      </c>
      <c r="F41" s="4">
        <v>46386.767464467594</v>
      </c>
      <c r="G41" t="s">
        <v>383</v>
      </c>
    </row>
    <row r="42" spans="1:7" x14ac:dyDescent="0.35">
      <c r="A42" t="s">
        <v>364</v>
      </c>
      <c r="B42" t="s">
        <v>368</v>
      </c>
      <c r="C42" t="s">
        <v>378</v>
      </c>
      <c r="D42" t="s">
        <v>382</v>
      </c>
      <c r="E42" s="4">
        <v>45529.767464467594</v>
      </c>
      <c r="F42" s="4">
        <v>45894.767464467594</v>
      </c>
      <c r="G42" t="s">
        <v>384</v>
      </c>
    </row>
    <row r="43" spans="1:7" x14ac:dyDescent="0.35">
      <c r="A43" t="s">
        <v>359</v>
      </c>
      <c r="B43" t="s">
        <v>370</v>
      </c>
      <c r="C43" t="s">
        <v>378</v>
      </c>
      <c r="D43" t="s">
        <v>380</v>
      </c>
      <c r="E43" s="4">
        <v>45865.767464467594</v>
      </c>
      <c r="F43" s="4">
        <v>46230.767464467594</v>
      </c>
      <c r="G43" t="s">
        <v>383</v>
      </c>
    </row>
    <row r="44" spans="1:7" x14ac:dyDescent="0.35">
      <c r="A44" t="s">
        <v>364</v>
      </c>
      <c r="B44" t="s">
        <v>370</v>
      </c>
      <c r="C44" t="s">
        <v>376</v>
      </c>
      <c r="D44" t="s">
        <v>382</v>
      </c>
      <c r="E44" s="4">
        <v>45673.767464467594</v>
      </c>
      <c r="F44" s="4">
        <v>46038.767464467594</v>
      </c>
      <c r="G44" t="s">
        <v>384</v>
      </c>
    </row>
    <row r="45" spans="1:7" x14ac:dyDescent="0.35">
      <c r="A45" t="s">
        <v>362</v>
      </c>
      <c r="B45" t="s">
        <v>370</v>
      </c>
      <c r="C45" t="s">
        <v>377</v>
      </c>
      <c r="D45" t="s">
        <v>381</v>
      </c>
      <c r="E45" s="4">
        <v>45911.767464467594</v>
      </c>
      <c r="F45" s="4">
        <v>46641.767464467594</v>
      </c>
      <c r="G45" t="s">
        <v>383</v>
      </c>
    </row>
    <row r="46" spans="1:7" x14ac:dyDescent="0.35">
      <c r="A46" t="s">
        <v>359</v>
      </c>
      <c r="B46" t="s">
        <v>370</v>
      </c>
      <c r="C46" t="s">
        <v>376</v>
      </c>
      <c r="D46" t="s">
        <v>380</v>
      </c>
      <c r="E46" s="4">
        <v>45345.767464467594</v>
      </c>
      <c r="F46" s="4">
        <v>46075.767464467594</v>
      </c>
      <c r="G46" t="s">
        <v>383</v>
      </c>
    </row>
    <row r="47" spans="1:7" x14ac:dyDescent="0.35">
      <c r="A47" t="s">
        <v>362</v>
      </c>
      <c r="B47" t="s">
        <v>368</v>
      </c>
      <c r="C47" t="s">
        <v>378</v>
      </c>
      <c r="D47" t="s">
        <v>379</v>
      </c>
      <c r="E47" s="4">
        <v>45556.767464467594</v>
      </c>
      <c r="F47" s="4">
        <v>46286.767464467594</v>
      </c>
      <c r="G47" t="s">
        <v>383</v>
      </c>
    </row>
    <row r="48" spans="1:7" x14ac:dyDescent="0.35">
      <c r="A48" t="s">
        <v>361</v>
      </c>
      <c r="B48" t="s">
        <v>370</v>
      </c>
      <c r="C48" t="s">
        <v>377</v>
      </c>
      <c r="D48" t="s">
        <v>379</v>
      </c>
      <c r="E48" s="4">
        <v>45347.767464467594</v>
      </c>
      <c r="F48" s="4">
        <v>45712.767464467594</v>
      </c>
      <c r="G48" t="s">
        <v>384</v>
      </c>
    </row>
    <row r="49" spans="1:7" x14ac:dyDescent="0.35">
      <c r="A49" t="s">
        <v>360</v>
      </c>
      <c r="B49" t="s">
        <v>371</v>
      </c>
      <c r="C49" t="s">
        <v>376</v>
      </c>
      <c r="D49" t="s">
        <v>382</v>
      </c>
      <c r="E49" s="4">
        <v>45387.767464467594</v>
      </c>
      <c r="F49" s="4">
        <v>45752.767464467594</v>
      </c>
      <c r="G49" t="s">
        <v>384</v>
      </c>
    </row>
    <row r="50" spans="1:7" x14ac:dyDescent="0.35">
      <c r="A50" t="s">
        <v>362</v>
      </c>
      <c r="B50" t="s">
        <v>370</v>
      </c>
      <c r="C50" t="s">
        <v>378</v>
      </c>
      <c r="D50" t="s">
        <v>379</v>
      </c>
      <c r="E50" s="4">
        <v>45741.767464467594</v>
      </c>
      <c r="F50" s="4">
        <v>46471.767464467594</v>
      </c>
      <c r="G50" t="s">
        <v>383</v>
      </c>
    </row>
    <row r="51" spans="1:7" x14ac:dyDescent="0.35">
      <c r="A51" t="s">
        <v>360</v>
      </c>
      <c r="B51" t="s">
        <v>368</v>
      </c>
      <c r="C51" t="s">
        <v>373</v>
      </c>
      <c r="D51" t="s">
        <v>379</v>
      </c>
      <c r="E51" s="4">
        <v>45364.767464467594</v>
      </c>
      <c r="F51" s="4">
        <v>45729.767464467594</v>
      </c>
      <c r="G51" t="s">
        <v>384</v>
      </c>
    </row>
    <row r="52" spans="1:7" x14ac:dyDescent="0.35">
      <c r="A52" t="s">
        <v>364</v>
      </c>
      <c r="B52" t="s">
        <v>372</v>
      </c>
      <c r="C52" t="s">
        <v>374</v>
      </c>
      <c r="D52" t="s">
        <v>379</v>
      </c>
      <c r="E52" s="4">
        <v>45821.767464467594</v>
      </c>
      <c r="F52" s="4">
        <v>46186.767464467594</v>
      </c>
      <c r="G52" t="s">
        <v>383</v>
      </c>
    </row>
    <row r="53" spans="1:7" x14ac:dyDescent="0.35">
      <c r="A53" t="s">
        <v>361</v>
      </c>
      <c r="B53" t="s">
        <v>369</v>
      </c>
      <c r="C53" t="s">
        <v>377</v>
      </c>
      <c r="D53" t="s">
        <v>380</v>
      </c>
      <c r="E53" s="4">
        <v>45536.767464467594</v>
      </c>
      <c r="F53" s="4">
        <v>46266.767464467594</v>
      </c>
      <c r="G53" t="s">
        <v>383</v>
      </c>
    </row>
    <row r="54" spans="1:7" x14ac:dyDescent="0.35">
      <c r="A54" t="s">
        <v>359</v>
      </c>
      <c r="B54" t="s">
        <v>371</v>
      </c>
      <c r="C54" t="s">
        <v>377</v>
      </c>
      <c r="D54" t="s">
        <v>382</v>
      </c>
      <c r="E54" s="4">
        <v>45711.767464467594</v>
      </c>
      <c r="F54" s="4">
        <v>46441.767464467594</v>
      </c>
      <c r="G54" t="s">
        <v>383</v>
      </c>
    </row>
    <row r="55" spans="1:7" x14ac:dyDescent="0.35">
      <c r="A55" t="s">
        <v>367</v>
      </c>
      <c r="B55" t="s">
        <v>371</v>
      </c>
      <c r="C55" t="s">
        <v>376</v>
      </c>
      <c r="D55" t="s">
        <v>381</v>
      </c>
      <c r="E55" s="4">
        <v>45753.767464467594</v>
      </c>
      <c r="F55" s="4">
        <v>46483.767464467594</v>
      </c>
      <c r="G55" t="s">
        <v>383</v>
      </c>
    </row>
    <row r="56" spans="1:7" x14ac:dyDescent="0.35">
      <c r="A56" t="s">
        <v>362</v>
      </c>
      <c r="B56" t="s">
        <v>370</v>
      </c>
      <c r="C56" t="s">
        <v>373</v>
      </c>
      <c r="D56" t="s">
        <v>382</v>
      </c>
      <c r="E56" s="4">
        <v>45871.767464467594</v>
      </c>
      <c r="F56" s="4">
        <v>46601.767464467594</v>
      </c>
      <c r="G56" t="s">
        <v>383</v>
      </c>
    </row>
    <row r="57" spans="1:7" x14ac:dyDescent="0.35">
      <c r="A57" t="s">
        <v>365</v>
      </c>
      <c r="B57" t="s">
        <v>370</v>
      </c>
      <c r="C57" t="s">
        <v>373</v>
      </c>
      <c r="D57" t="s">
        <v>381</v>
      </c>
      <c r="E57" s="4">
        <v>45991.767464467594</v>
      </c>
      <c r="F57" s="4">
        <v>46721.767464467594</v>
      </c>
      <c r="G57" t="s">
        <v>383</v>
      </c>
    </row>
    <row r="58" spans="1:7" x14ac:dyDescent="0.35">
      <c r="A58" t="s">
        <v>360</v>
      </c>
      <c r="B58" t="s">
        <v>372</v>
      </c>
      <c r="C58" t="s">
        <v>378</v>
      </c>
      <c r="D58" t="s">
        <v>382</v>
      </c>
      <c r="E58" s="4">
        <v>45710.767464467594</v>
      </c>
      <c r="F58" s="4">
        <v>46075.767464467594</v>
      </c>
      <c r="G58" t="s">
        <v>383</v>
      </c>
    </row>
    <row r="59" spans="1:7" x14ac:dyDescent="0.35">
      <c r="A59" t="s">
        <v>362</v>
      </c>
      <c r="B59" t="s">
        <v>372</v>
      </c>
      <c r="C59" t="s">
        <v>374</v>
      </c>
      <c r="D59" t="s">
        <v>380</v>
      </c>
      <c r="E59" s="4">
        <v>45453.767464467594</v>
      </c>
      <c r="F59" s="4">
        <v>46183.767464467594</v>
      </c>
      <c r="G59" t="s">
        <v>383</v>
      </c>
    </row>
    <row r="60" spans="1:7" x14ac:dyDescent="0.35">
      <c r="A60" t="s">
        <v>365</v>
      </c>
      <c r="B60" t="s">
        <v>370</v>
      </c>
      <c r="C60" t="s">
        <v>373</v>
      </c>
      <c r="D60" t="s">
        <v>381</v>
      </c>
      <c r="E60" s="4">
        <v>45700.767464467594</v>
      </c>
      <c r="F60" s="4">
        <v>46065.767464467594</v>
      </c>
      <c r="G60" t="s">
        <v>384</v>
      </c>
    </row>
    <row r="61" spans="1:7" x14ac:dyDescent="0.35">
      <c r="A61" t="s">
        <v>360</v>
      </c>
      <c r="B61" t="s">
        <v>372</v>
      </c>
      <c r="C61" t="s">
        <v>375</v>
      </c>
      <c r="D61" t="s">
        <v>380</v>
      </c>
      <c r="E61" s="4">
        <v>45874.767464467594</v>
      </c>
      <c r="F61" s="4">
        <v>46239.767464467594</v>
      </c>
      <c r="G61" t="s">
        <v>383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workbookViewId="0">
      <selection activeCell="H2" sqref="H2"/>
    </sheetView>
  </sheetViews>
  <sheetFormatPr defaultRowHeight="14.5" x14ac:dyDescent="0.35"/>
  <cols>
    <col min="1" max="1" width="20.7265625" customWidth="1"/>
    <col min="2" max="2" width="29.36328125" customWidth="1"/>
    <col min="5" max="5" width="21.81640625" customWidth="1"/>
    <col min="6" max="7" width="10.453125" bestFit="1" customWidth="1"/>
  </cols>
  <sheetData>
    <row r="1" spans="1:8" x14ac:dyDescent="0.35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329</v>
      </c>
      <c r="H1" t="s">
        <v>21</v>
      </c>
    </row>
    <row r="2" spans="1:8" x14ac:dyDescent="0.35">
      <c r="A2" t="s">
        <v>391</v>
      </c>
      <c r="B2" t="s">
        <v>399</v>
      </c>
      <c r="C2">
        <v>61</v>
      </c>
      <c r="E2" t="s">
        <v>407</v>
      </c>
      <c r="F2" s="4">
        <v>46030.767464467594</v>
      </c>
      <c r="G2" s="4">
        <v>46395.767464467594</v>
      </c>
      <c r="H2" t="s">
        <v>410</v>
      </c>
    </row>
    <row r="3" spans="1:8" x14ac:dyDescent="0.35">
      <c r="A3" t="s">
        <v>392</v>
      </c>
      <c r="B3" t="s">
        <v>400</v>
      </c>
      <c r="C3">
        <v>84</v>
      </c>
      <c r="E3" t="s">
        <v>408</v>
      </c>
      <c r="F3" s="4">
        <v>45905.767464467594</v>
      </c>
      <c r="G3" s="4">
        <v>46270.767464467594</v>
      </c>
      <c r="H3" t="s">
        <v>352</v>
      </c>
    </row>
    <row r="4" spans="1:8" x14ac:dyDescent="0.35">
      <c r="A4" t="s">
        <v>393</v>
      </c>
      <c r="B4" t="s">
        <v>401</v>
      </c>
      <c r="C4">
        <v>98</v>
      </c>
      <c r="E4" t="s">
        <v>409</v>
      </c>
      <c r="F4" s="4">
        <v>46030.767464467594</v>
      </c>
      <c r="G4" s="4">
        <v>46395.767464467594</v>
      </c>
      <c r="H4" t="s">
        <v>352</v>
      </c>
    </row>
    <row r="5" spans="1:8" x14ac:dyDescent="0.35">
      <c r="A5" t="s">
        <v>394</v>
      </c>
      <c r="B5" t="s">
        <v>402</v>
      </c>
      <c r="C5">
        <v>70</v>
      </c>
      <c r="E5" t="s">
        <v>409</v>
      </c>
      <c r="F5" s="4">
        <v>45726.767464467594</v>
      </c>
      <c r="G5" s="4">
        <v>46091.767464467594</v>
      </c>
      <c r="H5" t="s">
        <v>352</v>
      </c>
    </row>
    <row r="6" spans="1:8" x14ac:dyDescent="0.35">
      <c r="A6" t="s">
        <v>395</v>
      </c>
      <c r="B6" t="s">
        <v>403</v>
      </c>
      <c r="C6">
        <v>63</v>
      </c>
      <c r="E6" t="s">
        <v>407</v>
      </c>
      <c r="F6" s="4">
        <v>45832.767464467594</v>
      </c>
      <c r="G6" s="4">
        <v>46197.767464467594</v>
      </c>
      <c r="H6" t="s">
        <v>410</v>
      </c>
    </row>
    <row r="7" spans="1:8" x14ac:dyDescent="0.35">
      <c r="A7" t="s">
        <v>392</v>
      </c>
      <c r="B7" t="s">
        <v>400</v>
      </c>
      <c r="C7">
        <v>45</v>
      </c>
      <c r="E7" t="s">
        <v>407</v>
      </c>
      <c r="F7" s="4">
        <v>45930.767464467594</v>
      </c>
      <c r="G7" s="4">
        <v>46295.767464467594</v>
      </c>
      <c r="H7" t="s">
        <v>410</v>
      </c>
    </row>
    <row r="8" spans="1:8" x14ac:dyDescent="0.35">
      <c r="A8" t="s">
        <v>395</v>
      </c>
      <c r="B8" t="s">
        <v>403</v>
      </c>
      <c r="C8">
        <v>92</v>
      </c>
      <c r="E8" t="s">
        <v>408</v>
      </c>
      <c r="F8" s="4">
        <v>45888.767464467594</v>
      </c>
      <c r="G8" s="4">
        <v>46253.767464467594</v>
      </c>
      <c r="H8" t="s">
        <v>352</v>
      </c>
    </row>
    <row r="9" spans="1:8" x14ac:dyDescent="0.35">
      <c r="A9" t="s">
        <v>396</v>
      </c>
      <c r="B9" t="s">
        <v>404</v>
      </c>
      <c r="C9">
        <v>83</v>
      </c>
      <c r="E9" t="s">
        <v>407</v>
      </c>
      <c r="F9" s="4">
        <v>46000.767464467594</v>
      </c>
      <c r="G9" s="4">
        <v>46365.767464467594</v>
      </c>
      <c r="H9" t="s">
        <v>410</v>
      </c>
    </row>
    <row r="10" spans="1:8" x14ac:dyDescent="0.35">
      <c r="A10" t="s">
        <v>391</v>
      </c>
      <c r="B10" t="s">
        <v>399</v>
      </c>
      <c r="C10">
        <v>67</v>
      </c>
      <c r="E10" t="s">
        <v>407</v>
      </c>
      <c r="F10" s="4">
        <v>45726.767464467594</v>
      </c>
      <c r="G10" s="4">
        <v>46091.767464467594</v>
      </c>
      <c r="H10" t="s">
        <v>410</v>
      </c>
    </row>
    <row r="11" spans="1:8" x14ac:dyDescent="0.35">
      <c r="A11" t="s">
        <v>397</v>
      </c>
      <c r="B11" t="s">
        <v>405</v>
      </c>
      <c r="C11">
        <v>49</v>
      </c>
      <c r="E11" t="s">
        <v>408</v>
      </c>
      <c r="F11" s="4">
        <v>45765.767464467594</v>
      </c>
      <c r="G11" s="4">
        <v>46130.767464467594</v>
      </c>
      <c r="H11" t="s">
        <v>352</v>
      </c>
    </row>
    <row r="12" spans="1:8" x14ac:dyDescent="0.35">
      <c r="A12" t="s">
        <v>392</v>
      </c>
      <c r="B12" t="s">
        <v>400</v>
      </c>
      <c r="C12">
        <v>77</v>
      </c>
      <c r="E12" t="s">
        <v>407</v>
      </c>
      <c r="F12" s="4">
        <v>45784.767464467594</v>
      </c>
      <c r="G12" s="4">
        <v>46149.767464467594</v>
      </c>
      <c r="H12" t="s">
        <v>410</v>
      </c>
    </row>
    <row r="13" spans="1:8" x14ac:dyDescent="0.35">
      <c r="A13" t="s">
        <v>397</v>
      </c>
      <c r="B13" t="s">
        <v>405</v>
      </c>
      <c r="C13">
        <v>82</v>
      </c>
      <c r="E13" t="s">
        <v>407</v>
      </c>
      <c r="F13" s="4">
        <v>45920.767464467594</v>
      </c>
      <c r="G13" s="4">
        <v>46285.767464467594</v>
      </c>
      <c r="H13" t="s">
        <v>410</v>
      </c>
    </row>
    <row r="14" spans="1:8" x14ac:dyDescent="0.35">
      <c r="A14" t="s">
        <v>392</v>
      </c>
      <c r="B14" t="s">
        <v>400</v>
      </c>
      <c r="C14">
        <v>80</v>
      </c>
      <c r="E14" t="s">
        <v>408</v>
      </c>
      <c r="F14" s="4">
        <v>45766.767464467594</v>
      </c>
      <c r="G14" s="4">
        <v>46131.767464467594</v>
      </c>
      <c r="H14" t="s">
        <v>352</v>
      </c>
    </row>
    <row r="15" spans="1:8" x14ac:dyDescent="0.35">
      <c r="A15" t="s">
        <v>391</v>
      </c>
      <c r="B15" t="s">
        <v>399</v>
      </c>
      <c r="C15">
        <v>60</v>
      </c>
      <c r="E15" t="s">
        <v>407</v>
      </c>
      <c r="F15" s="4">
        <v>45962.767464467594</v>
      </c>
      <c r="G15" s="4">
        <v>46327.767464467594</v>
      </c>
      <c r="H15" t="s">
        <v>410</v>
      </c>
    </row>
    <row r="16" spans="1:8" x14ac:dyDescent="0.35">
      <c r="A16" t="s">
        <v>395</v>
      </c>
      <c r="B16" t="s">
        <v>403</v>
      </c>
      <c r="C16">
        <v>45</v>
      </c>
      <c r="E16" t="s">
        <v>407</v>
      </c>
      <c r="F16" s="4">
        <v>45939.767464467594</v>
      </c>
      <c r="G16" s="4">
        <v>46304.767464467594</v>
      </c>
      <c r="H16" t="s">
        <v>410</v>
      </c>
    </row>
    <row r="17" spans="1:8" x14ac:dyDescent="0.35">
      <c r="A17" t="s">
        <v>391</v>
      </c>
      <c r="B17" t="s">
        <v>399</v>
      </c>
      <c r="C17">
        <v>78</v>
      </c>
      <c r="E17" t="s">
        <v>408</v>
      </c>
      <c r="F17" s="4">
        <v>46039.767464467594</v>
      </c>
      <c r="G17" s="4">
        <v>46404.767464467594</v>
      </c>
      <c r="H17" t="s">
        <v>352</v>
      </c>
    </row>
    <row r="18" spans="1:8" x14ac:dyDescent="0.35">
      <c r="A18" t="s">
        <v>397</v>
      </c>
      <c r="B18" t="s">
        <v>405</v>
      </c>
      <c r="C18">
        <v>50</v>
      </c>
      <c r="E18" t="s">
        <v>407</v>
      </c>
      <c r="F18" s="4">
        <v>45893.767464467594</v>
      </c>
      <c r="G18" s="4">
        <v>46258.767464467594</v>
      </c>
      <c r="H18" t="s">
        <v>410</v>
      </c>
    </row>
    <row r="19" spans="1:8" x14ac:dyDescent="0.35">
      <c r="A19" t="s">
        <v>398</v>
      </c>
      <c r="B19" t="s">
        <v>406</v>
      </c>
      <c r="C19">
        <v>100</v>
      </c>
      <c r="E19" t="s">
        <v>408</v>
      </c>
      <c r="F19" s="4">
        <v>45818.767464467594</v>
      </c>
      <c r="G19" s="4">
        <v>46183.767464467594</v>
      </c>
      <c r="H19" t="s">
        <v>352</v>
      </c>
    </row>
    <row r="20" spans="1:8" x14ac:dyDescent="0.35">
      <c r="A20" t="s">
        <v>394</v>
      </c>
      <c r="B20" t="s">
        <v>402</v>
      </c>
      <c r="C20">
        <v>55</v>
      </c>
      <c r="E20" t="s">
        <v>408</v>
      </c>
      <c r="F20" s="4">
        <v>45942.767464467594</v>
      </c>
      <c r="G20" s="4">
        <v>46307.767464467594</v>
      </c>
      <c r="H20" t="s">
        <v>352</v>
      </c>
    </row>
    <row r="21" spans="1:8" x14ac:dyDescent="0.35">
      <c r="A21" t="s">
        <v>392</v>
      </c>
      <c r="B21" t="s">
        <v>400</v>
      </c>
      <c r="C21">
        <v>92</v>
      </c>
      <c r="E21" t="s">
        <v>408</v>
      </c>
      <c r="F21" s="4">
        <v>45897.767464467594</v>
      </c>
      <c r="G21" s="4">
        <v>46262.767464467594</v>
      </c>
      <c r="H21" t="s">
        <v>352</v>
      </c>
    </row>
    <row r="22" spans="1:8" x14ac:dyDescent="0.35">
      <c r="A22" t="s">
        <v>397</v>
      </c>
      <c r="B22" t="s">
        <v>405</v>
      </c>
      <c r="C22">
        <v>75</v>
      </c>
      <c r="E22" t="s">
        <v>408</v>
      </c>
      <c r="F22" s="4">
        <v>45881.767464467594</v>
      </c>
      <c r="G22" s="4">
        <v>46246.767464467594</v>
      </c>
      <c r="H22" t="s">
        <v>352</v>
      </c>
    </row>
    <row r="23" spans="1:8" x14ac:dyDescent="0.35">
      <c r="A23" t="s">
        <v>392</v>
      </c>
      <c r="B23" t="s">
        <v>400</v>
      </c>
      <c r="C23">
        <v>89</v>
      </c>
      <c r="E23" t="s">
        <v>407</v>
      </c>
      <c r="F23" s="4">
        <v>45981.767464467594</v>
      </c>
      <c r="G23" s="4">
        <v>46346.767464467594</v>
      </c>
      <c r="H23" t="s">
        <v>410</v>
      </c>
    </row>
    <row r="24" spans="1:8" x14ac:dyDescent="0.35">
      <c r="A24" t="s">
        <v>393</v>
      </c>
      <c r="B24" t="s">
        <v>401</v>
      </c>
      <c r="C24">
        <v>62</v>
      </c>
      <c r="E24" t="s">
        <v>409</v>
      </c>
      <c r="F24" s="4">
        <v>46040.767464467594</v>
      </c>
      <c r="G24" s="4">
        <v>46405.767464467594</v>
      </c>
      <c r="H24" t="s">
        <v>352</v>
      </c>
    </row>
    <row r="25" spans="1:8" x14ac:dyDescent="0.35">
      <c r="A25" t="s">
        <v>395</v>
      </c>
      <c r="B25" t="s">
        <v>403</v>
      </c>
      <c r="C25">
        <v>85</v>
      </c>
      <c r="E25" t="s">
        <v>409</v>
      </c>
      <c r="F25" s="4">
        <v>45924.767464467594</v>
      </c>
      <c r="G25" s="4">
        <v>46289.767464467594</v>
      </c>
      <c r="H25" t="s">
        <v>352</v>
      </c>
    </row>
    <row r="26" spans="1:8" x14ac:dyDescent="0.35">
      <c r="A26" t="s">
        <v>396</v>
      </c>
      <c r="B26" t="s">
        <v>404</v>
      </c>
      <c r="C26">
        <v>75</v>
      </c>
      <c r="E26" t="s">
        <v>408</v>
      </c>
      <c r="F26" s="4">
        <v>45848.767464467594</v>
      </c>
      <c r="G26" s="4">
        <v>46213.767464467594</v>
      </c>
      <c r="H26" t="s">
        <v>352</v>
      </c>
    </row>
    <row r="27" spans="1:8" x14ac:dyDescent="0.35">
      <c r="A27" t="s">
        <v>391</v>
      </c>
      <c r="B27" t="s">
        <v>399</v>
      </c>
      <c r="C27">
        <v>48</v>
      </c>
      <c r="E27" t="s">
        <v>408</v>
      </c>
      <c r="F27" s="4">
        <v>45848.767464467594</v>
      </c>
      <c r="G27" s="4">
        <v>46213.767464467594</v>
      </c>
      <c r="H27" t="s">
        <v>352</v>
      </c>
    </row>
    <row r="28" spans="1:8" x14ac:dyDescent="0.35">
      <c r="A28" t="s">
        <v>393</v>
      </c>
      <c r="B28" t="s">
        <v>401</v>
      </c>
      <c r="C28">
        <v>96</v>
      </c>
      <c r="E28" t="s">
        <v>409</v>
      </c>
      <c r="F28" s="4">
        <v>45990.767464467594</v>
      </c>
      <c r="G28" s="4">
        <v>46355.767464467594</v>
      </c>
      <c r="H28" t="s">
        <v>352</v>
      </c>
    </row>
    <row r="29" spans="1:8" x14ac:dyDescent="0.35">
      <c r="A29" t="s">
        <v>394</v>
      </c>
      <c r="B29" t="s">
        <v>402</v>
      </c>
      <c r="C29">
        <v>50</v>
      </c>
      <c r="E29" t="s">
        <v>409</v>
      </c>
      <c r="F29" s="4">
        <v>45997.767464467594</v>
      </c>
      <c r="G29" s="4">
        <v>46362.767464467594</v>
      </c>
      <c r="H29" t="s">
        <v>352</v>
      </c>
    </row>
    <row r="30" spans="1:8" x14ac:dyDescent="0.35">
      <c r="A30" t="s">
        <v>394</v>
      </c>
      <c r="B30" t="s">
        <v>402</v>
      </c>
      <c r="C30">
        <v>72</v>
      </c>
      <c r="E30" t="s">
        <v>408</v>
      </c>
      <c r="F30" s="4">
        <v>46005.767464467594</v>
      </c>
      <c r="G30" s="4">
        <v>46370.767464467594</v>
      </c>
      <c r="H30" t="s">
        <v>352</v>
      </c>
    </row>
    <row r="31" spans="1:8" x14ac:dyDescent="0.35">
      <c r="A31" t="s">
        <v>398</v>
      </c>
      <c r="B31" t="s">
        <v>406</v>
      </c>
      <c r="C31">
        <v>56</v>
      </c>
      <c r="E31" t="s">
        <v>407</v>
      </c>
      <c r="F31" s="4">
        <v>45766.767464467594</v>
      </c>
      <c r="G31" s="4">
        <v>46131.767464467594</v>
      </c>
      <c r="H31" t="s">
        <v>410</v>
      </c>
    </row>
    <row r="32" spans="1:8" x14ac:dyDescent="0.35">
      <c r="A32" t="s">
        <v>396</v>
      </c>
      <c r="B32" t="s">
        <v>404</v>
      </c>
      <c r="C32">
        <v>44</v>
      </c>
      <c r="E32" t="s">
        <v>407</v>
      </c>
      <c r="F32" s="4">
        <v>45805.767464467594</v>
      </c>
      <c r="G32" s="4">
        <v>46170.767464467594</v>
      </c>
      <c r="H32" t="s">
        <v>410</v>
      </c>
    </row>
    <row r="33" spans="1:8" x14ac:dyDescent="0.35">
      <c r="A33" t="s">
        <v>396</v>
      </c>
      <c r="B33" t="s">
        <v>404</v>
      </c>
      <c r="C33">
        <v>68</v>
      </c>
      <c r="E33" t="s">
        <v>408</v>
      </c>
      <c r="F33" s="4">
        <v>45782.767464467594</v>
      </c>
      <c r="G33" s="4">
        <v>46147.767464467594</v>
      </c>
      <c r="H33" t="s">
        <v>352</v>
      </c>
    </row>
    <row r="34" spans="1:8" x14ac:dyDescent="0.35">
      <c r="A34" t="s">
        <v>394</v>
      </c>
      <c r="B34" t="s">
        <v>402</v>
      </c>
      <c r="C34">
        <v>44</v>
      </c>
      <c r="E34" t="s">
        <v>409</v>
      </c>
      <c r="F34" s="4">
        <v>45952.767464467594</v>
      </c>
      <c r="G34" s="4">
        <v>46317.767464467594</v>
      </c>
      <c r="H34" t="s">
        <v>352</v>
      </c>
    </row>
    <row r="35" spans="1:8" x14ac:dyDescent="0.35">
      <c r="A35" t="s">
        <v>392</v>
      </c>
      <c r="B35" t="s">
        <v>400</v>
      </c>
      <c r="C35">
        <v>57</v>
      </c>
      <c r="E35" t="s">
        <v>407</v>
      </c>
      <c r="F35" s="4">
        <v>45997.767464467594</v>
      </c>
      <c r="G35" s="4">
        <v>46362.767464467594</v>
      </c>
      <c r="H35" t="s">
        <v>410</v>
      </c>
    </row>
    <row r="36" spans="1:8" x14ac:dyDescent="0.35">
      <c r="A36" t="s">
        <v>392</v>
      </c>
      <c r="B36" t="s">
        <v>400</v>
      </c>
      <c r="C36">
        <v>44</v>
      </c>
      <c r="E36" t="s">
        <v>408</v>
      </c>
      <c r="F36" s="4">
        <v>45783.767464467594</v>
      </c>
      <c r="G36" s="4">
        <v>46148.767464467594</v>
      </c>
      <c r="H36" t="s">
        <v>352</v>
      </c>
    </row>
    <row r="37" spans="1:8" x14ac:dyDescent="0.35">
      <c r="A37" t="s">
        <v>392</v>
      </c>
      <c r="B37" t="s">
        <v>400</v>
      </c>
      <c r="C37">
        <v>43</v>
      </c>
      <c r="E37" t="s">
        <v>408</v>
      </c>
      <c r="F37" s="4">
        <v>45924.767464467594</v>
      </c>
      <c r="G37" s="4">
        <v>46289.767464467594</v>
      </c>
      <c r="H37" t="s">
        <v>352</v>
      </c>
    </row>
    <row r="38" spans="1:8" x14ac:dyDescent="0.35">
      <c r="A38" t="s">
        <v>391</v>
      </c>
      <c r="B38" t="s">
        <v>399</v>
      </c>
      <c r="C38">
        <v>61</v>
      </c>
      <c r="E38" t="s">
        <v>407</v>
      </c>
      <c r="F38" s="4">
        <v>45935.767464467594</v>
      </c>
      <c r="G38" s="4">
        <v>46300.767464467594</v>
      </c>
      <c r="H38" t="s">
        <v>410</v>
      </c>
    </row>
    <row r="39" spans="1:8" x14ac:dyDescent="0.35">
      <c r="A39" t="s">
        <v>398</v>
      </c>
      <c r="B39" t="s">
        <v>406</v>
      </c>
      <c r="C39">
        <v>97</v>
      </c>
      <c r="E39" t="s">
        <v>407</v>
      </c>
      <c r="F39" s="4">
        <v>45853.767464467594</v>
      </c>
      <c r="G39" s="4">
        <v>46218.767464467594</v>
      </c>
      <c r="H39" t="s">
        <v>410</v>
      </c>
    </row>
    <row r="40" spans="1:8" x14ac:dyDescent="0.35">
      <c r="A40" t="s">
        <v>391</v>
      </c>
      <c r="B40" t="s">
        <v>399</v>
      </c>
      <c r="C40">
        <v>69</v>
      </c>
      <c r="E40" t="s">
        <v>407</v>
      </c>
      <c r="F40" s="4">
        <v>45959.767464467594</v>
      </c>
      <c r="G40" s="4">
        <v>46324.767464467594</v>
      </c>
      <c r="H40" t="s">
        <v>410</v>
      </c>
    </row>
    <row r="41" spans="1:8" x14ac:dyDescent="0.35">
      <c r="A41" t="s">
        <v>397</v>
      </c>
      <c r="B41" t="s">
        <v>405</v>
      </c>
      <c r="C41">
        <v>45</v>
      </c>
      <c r="E41" t="s">
        <v>407</v>
      </c>
      <c r="F41" s="4">
        <v>45924.767464467594</v>
      </c>
      <c r="G41" s="4">
        <v>46289.767464467594</v>
      </c>
      <c r="H41" t="s">
        <v>410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>
      <selection activeCell="D9" sqref="D9"/>
    </sheetView>
  </sheetViews>
  <sheetFormatPr defaultRowHeight="14.5" x14ac:dyDescent="0.35"/>
  <cols>
    <col min="1" max="1" width="34.7265625" customWidth="1"/>
    <col min="2" max="2" width="24.26953125" customWidth="1"/>
    <col min="3" max="3" width="27.08984375" customWidth="1"/>
    <col min="4" max="4" width="19.08984375" customWidth="1"/>
  </cols>
  <sheetData>
    <row r="1" spans="1:4" x14ac:dyDescent="0.35">
      <c r="A1" t="s">
        <v>411</v>
      </c>
      <c r="B1" t="s">
        <v>412</v>
      </c>
      <c r="C1" t="s">
        <v>413</v>
      </c>
      <c r="D1" t="s">
        <v>414</v>
      </c>
    </row>
    <row r="2" spans="1:4" x14ac:dyDescent="0.35">
      <c r="A2" t="s">
        <v>415</v>
      </c>
      <c r="B2" t="s">
        <v>421</v>
      </c>
      <c r="C2" t="s">
        <v>427</v>
      </c>
    </row>
    <row r="3" spans="1:4" x14ac:dyDescent="0.35">
      <c r="A3" t="s">
        <v>416</v>
      </c>
      <c r="B3" t="s">
        <v>422</v>
      </c>
      <c r="C3" t="s">
        <v>427</v>
      </c>
    </row>
    <row r="4" spans="1:4" x14ac:dyDescent="0.35">
      <c r="A4" t="s">
        <v>417</v>
      </c>
      <c r="B4" t="s">
        <v>423</v>
      </c>
      <c r="C4" t="s">
        <v>427</v>
      </c>
    </row>
    <row r="5" spans="1:4" x14ac:dyDescent="0.35">
      <c r="A5" t="s">
        <v>418</v>
      </c>
      <c r="B5" t="s">
        <v>424</v>
      </c>
      <c r="C5" t="s">
        <v>427</v>
      </c>
    </row>
    <row r="6" spans="1:4" x14ac:dyDescent="0.35">
      <c r="A6" t="s">
        <v>419</v>
      </c>
      <c r="B6" t="s">
        <v>425</v>
      </c>
      <c r="C6" t="s">
        <v>427</v>
      </c>
    </row>
    <row r="7" spans="1:4" x14ac:dyDescent="0.35">
      <c r="A7" t="s">
        <v>420</v>
      </c>
      <c r="B7" t="s">
        <v>426</v>
      </c>
      <c r="C7" t="s">
        <v>427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/>
  </sheetViews>
  <sheetFormatPr defaultRowHeight="14.5" x14ac:dyDescent="0.35"/>
  <cols>
    <col min="1" max="1" width="37.08984375" customWidth="1"/>
    <col min="4" max="4" width="26.90625" customWidth="1"/>
    <col min="5" max="5" width="33.08984375" customWidth="1"/>
    <col min="6" max="6" width="20.7265625" customWidth="1"/>
  </cols>
  <sheetData>
    <row r="1" spans="1:6" x14ac:dyDescent="0.35">
      <c r="A1" t="s">
        <v>13</v>
      </c>
      <c r="B1" t="s">
        <v>428</v>
      </c>
      <c r="C1" t="s">
        <v>429</v>
      </c>
      <c r="D1" t="s">
        <v>430</v>
      </c>
      <c r="E1" t="s">
        <v>431</v>
      </c>
      <c r="F1" t="s">
        <v>18</v>
      </c>
    </row>
    <row r="2" spans="1:6" x14ac:dyDescent="0.35">
      <c r="A2" t="s">
        <v>105</v>
      </c>
      <c r="E2" t="s">
        <v>103</v>
      </c>
      <c r="F2" t="s">
        <v>122</v>
      </c>
    </row>
    <row r="3" spans="1:6" x14ac:dyDescent="0.35">
      <c r="A3" t="s">
        <v>109</v>
      </c>
      <c r="D3" t="s">
        <v>105</v>
      </c>
      <c r="E3" t="s">
        <v>103</v>
      </c>
      <c r="F3" t="s">
        <v>121</v>
      </c>
    </row>
    <row r="4" spans="1:6" x14ac:dyDescent="0.35">
      <c r="A4" t="s">
        <v>107</v>
      </c>
      <c r="D4" t="s">
        <v>109</v>
      </c>
      <c r="E4" t="s">
        <v>103</v>
      </c>
      <c r="F4" t="s">
        <v>124</v>
      </c>
    </row>
    <row r="5" spans="1:6" x14ac:dyDescent="0.35">
      <c r="A5" t="s">
        <v>103</v>
      </c>
      <c r="D5" t="s">
        <v>107</v>
      </c>
      <c r="E5" t="s">
        <v>110</v>
      </c>
      <c r="F5" t="s">
        <v>122</v>
      </c>
    </row>
    <row r="6" spans="1:6" x14ac:dyDescent="0.35">
      <c r="A6" t="s">
        <v>110</v>
      </c>
      <c r="D6" t="s">
        <v>103</v>
      </c>
      <c r="E6" t="s">
        <v>106</v>
      </c>
      <c r="F6" t="s">
        <v>124</v>
      </c>
    </row>
    <row r="7" spans="1:6" x14ac:dyDescent="0.35">
      <c r="A7" t="s">
        <v>106</v>
      </c>
      <c r="D7" t="s">
        <v>110</v>
      </c>
      <c r="E7" t="s">
        <v>433</v>
      </c>
      <c r="F7" t="s">
        <v>122</v>
      </c>
    </row>
    <row r="8" spans="1:6" x14ac:dyDescent="0.35">
      <c r="A8" t="s">
        <v>104</v>
      </c>
      <c r="E8" t="s">
        <v>432</v>
      </c>
      <c r="F8" t="s">
        <v>124</v>
      </c>
    </row>
    <row r="9" spans="1:6" x14ac:dyDescent="0.35">
      <c r="A9" t="s">
        <v>108</v>
      </c>
      <c r="E9" t="s">
        <v>432</v>
      </c>
      <c r="F9" t="s">
        <v>121</v>
      </c>
    </row>
    <row r="10" spans="1:6" x14ac:dyDescent="0.35">
      <c r="A10" t="s">
        <v>102</v>
      </c>
      <c r="D10" t="s">
        <v>432</v>
      </c>
      <c r="E10" t="s">
        <v>432</v>
      </c>
      <c r="F10" t="s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/>
  </sheetViews>
  <sheetFormatPr defaultRowHeight="14.5" x14ac:dyDescent="0.35"/>
  <cols>
    <col min="1" max="1" width="29.08984375" customWidth="1"/>
  </cols>
  <sheetData>
    <row r="1" spans="1:2" x14ac:dyDescent="0.35">
      <c r="A1" t="s">
        <v>13</v>
      </c>
      <c r="B1" t="s">
        <v>17</v>
      </c>
    </row>
    <row r="2" spans="1:2" x14ac:dyDescent="0.35">
      <c r="A2" t="s">
        <v>109</v>
      </c>
      <c r="B2">
        <v>74</v>
      </c>
    </row>
    <row r="3" spans="1:2" x14ac:dyDescent="0.35">
      <c r="A3" t="s">
        <v>102</v>
      </c>
      <c r="B3">
        <v>50</v>
      </c>
    </row>
    <row r="4" spans="1:2" x14ac:dyDescent="0.35">
      <c r="A4" t="s">
        <v>106</v>
      </c>
      <c r="B4">
        <v>28</v>
      </c>
    </row>
    <row r="5" spans="1:2" x14ac:dyDescent="0.35">
      <c r="A5" t="s">
        <v>108</v>
      </c>
      <c r="B5">
        <v>118</v>
      </c>
    </row>
    <row r="6" spans="1:2" x14ac:dyDescent="0.35">
      <c r="A6" t="s">
        <v>107</v>
      </c>
      <c r="B6">
        <v>102</v>
      </c>
    </row>
    <row r="7" spans="1:2" x14ac:dyDescent="0.35">
      <c r="A7" t="s">
        <v>103</v>
      </c>
      <c r="B7">
        <v>93</v>
      </c>
    </row>
    <row r="8" spans="1:2" x14ac:dyDescent="0.35">
      <c r="A8" t="s">
        <v>110</v>
      </c>
      <c r="B8">
        <v>85</v>
      </c>
    </row>
    <row r="9" spans="1:2" x14ac:dyDescent="0.35">
      <c r="A9" t="s">
        <v>105</v>
      </c>
      <c r="B9">
        <v>94</v>
      </c>
    </row>
    <row r="10" spans="1:2" x14ac:dyDescent="0.35">
      <c r="A10" t="s">
        <v>104</v>
      </c>
      <c r="B10">
        <v>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/>
  </sheetViews>
  <sheetFormatPr defaultRowHeight="14.5" x14ac:dyDescent="0.35"/>
  <sheetData>
    <row r="1" spans="1:2" x14ac:dyDescent="0.35">
      <c r="A1" t="s">
        <v>21</v>
      </c>
      <c r="B1" t="s">
        <v>434</v>
      </c>
    </row>
    <row r="2" spans="1:2" x14ac:dyDescent="0.35">
      <c r="A2" t="s">
        <v>127</v>
      </c>
      <c r="B2">
        <v>20</v>
      </c>
    </row>
    <row r="3" spans="1:2" x14ac:dyDescent="0.35">
      <c r="A3" t="s">
        <v>126</v>
      </c>
      <c r="B3">
        <v>16</v>
      </c>
    </row>
    <row r="4" spans="1:2" x14ac:dyDescent="0.35">
      <c r="A4" t="s">
        <v>280</v>
      </c>
      <c r="B4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/>
  </sheetViews>
  <sheetFormatPr defaultRowHeight="14.5" x14ac:dyDescent="0.35"/>
  <cols>
    <col min="1" max="1" width="20.36328125" customWidth="1"/>
  </cols>
  <sheetData>
    <row r="1" spans="1:2" x14ac:dyDescent="0.35">
      <c r="A1" t="s">
        <v>21</v>
      </c>
      <c r="B1" t="s">
        <v>434</v>
      </c>
    </row>
    <row r="2" spans="1:2" x14ac:dyDescent="0.35">
      <c r="A2" t="s">
        <v>127</v>
      </c>
      <c r="B2">
        <v>28</v>
      </c>
    </row>
    <row r="3" spans="1:2" x14ac:dyDescent="0.35">
      <c r="A3" t="s">
        <v>244</v>
      </c>
      <c r="B3">
        <v>22</v>
      </c>
    </row>
    <row r="4" spans="1:2" x14ac:dyDescent="0.35">
      <c r="A4" t="s">
        <v>126</v>
      </c>
      <c r="B4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"/>
  <sheetViews>
    <sheetView workbookViewId="0"/>
  </sheetViews>
  <sheetFormatPr defaultRowHeight="14.5" x14ac:dyDescent="0.35"/>
  <sheetData>
    <row r="1" spans="1:2" x14ac:dyDescent="0.35">
      <c r="A1" t="s">
        <v>21</v>
      </c>
      <c r="B1" t="s">
        <v>434</v>
      </c>
    </row>
    <row r="2" spans="1:2" x14ac:dyDescent="0.35">
      <c r="A2" t="s">
        <v>383</v>
      </c>
      <c r="B2">
        <v>46</v>
      </c>
    </row>
    <row r="3" spans="1:2" x14ac:dyDescent="0.35">
      <c r="A3" t="s">
        <v>384</v>
      </c>
      <c r="B3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"/>
  <sheetViews>
    <sheetView workbookViewId="0">
      <selection activeCell="I23" sqref="I23"/>
    </sheetView>
  </sheetViews>
  <sheetFormatPr defaultRowHeight="14.5" x14ac:dyDescent="0.35"/>
  <sheetData>
    <row r="1" spans="1:2" x14ac:dyDescent="0.35">
      <c r="A1" t="s">
        <v>388</v>
      </c>
      <c r="B1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Risk_Register</vt:lpstr>
      <vt:lpstr>NCR_Log</vt:lpstr>
      <vt:lpstr>CAPA</vt:lpstr>
      <vt:lpstr>Internal_Audits</vt:lpstr>
      <vt:lpstr>Doc_Control</vt:lpstr>
      <vt:lpstr>Training</vt:lpstr>
      <vt:lpstr>Supplier_Eval</vt:lpstr>
      <vt:lpstr>Management_Review</vt:lpstr>
      <vt:lpstr>Process_Map</vt:lpstr>
      <vt:lpstr>Risk_by_Process</vt:lpstr>
      <vt:lpstr>CAPA_Summary</vt:lpstr>
      <vt:lpstr>NCR_Summary</vt:lpstr>
      <vt:lpstr>Training_Summary</vt:lpstr>
      <vt:lpstr>Supplier_Bands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Izak Potgieter</cp:lastModifiedBy>
  <dcterms:created xsi:type="dcterms:W3CDTF">2026-02-21T16:33:37Z</dcterms:created>
  <dcterms:modified xsi:type="dcterms:W3CDTF">2026-02-21T19:23:57Z</dcterms:modified>
</cp:coreProperties>
</file>