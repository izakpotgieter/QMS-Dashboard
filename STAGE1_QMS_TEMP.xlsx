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l\Desktop\"/>
    </mc:Choice>
  </mc:AlternateContent>
  <xr:revisionPtr revIDLastSave="0" documentId="13_ncr:1_{7C943BBE-5705-4730-AB9A-2E99EFA31E50}" xr6:coauthVersionLast="47" xr6:coauthVersionMax="47" xr10:uidLastSave="{00000000-0000-0000-0000-000000000000}"/>
  <bookViews>
    <workbookView xWindow="1500" yWindow="0" windowWidth="20688" windowHeight="12240" firstSheet="5" activeTab="7" xr2:uid="{00000000-000D-0000-FFFF-FFFF00000000}"/>
  </bookViews>
  <sheets>
    <sheet name="Dashboard" sheetId="1" r:id="rId1"/>
    <sheet name="Risk_Register" sheetId="2" r:id="rId2"/>
    <sheet name="NCR_Log" sheetId="3" r:id="rId3"/>
    <sheet name="Inspections" sheetId="16" r:id="rId4"/>
    <sheet name="CAPA" sheetId="4" r:id="rId5"/>
    <sheet name="Internal_Audits" sheetId="5" r:id="rId6"/>
    <sheet name="Doc_Control" sheetId="6" r:id="rId7"/>
    <sheet name="Training" sheetId="7" r:id="rId8"/>
    <sheet name="Supplier_Eval" sheetId="8" r:id="rId9"/>
    <sheet name="Management_Review" sheetId="9" r:id="rId10"/>
    <sheet name="Process_Map" sheetId="10" r:id="rId11"/>
    <sheet name="Risk_by_Process" sheetId="11" r:id="rId12"/>
    <sheet name="CAPA_Summary" sheetId="12" r:id="rId13"/>
    <sheet name="NCR_Summary" sheetId="13" r:id="rId14"/>
    <sheet name="Training_Summary" sheetId="14" r:id="rId15"/>
    <sheet name="Supplier_Bands" sheetId="15" r:id="rId16"/>
    <sheet name="Sheet1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3" i="1"/>
  <c r="B11" i="1"/>
  <c r="B9" i="1"/>
  <c r="B7" i="1"/>
  <c r="B5" i="1"/>
</calcChain>
</file>

<file path=xl/sharedStrings.xml><?xml version="1.0" encoding="utf-8"?>
<sst xmlns="http://schemas.openxmlformats.org/spreadsheetml/2006/main" count="1621" uniqueCount="791">
  <si>
    <t>LOGO HERE</t>
  </si>
  <si>
    <t>Unnamed: 1</t>
  </si>
  <si>
    <t>Unnamed: 2</t>
  </si>
  <si>
    <t>ISO 9001:2015 Quality Management System</t>
  </si>
  <si>
    <t>Open NCRs</t>
  </si>
  <si>
    <t>Open CAPAs</t>
  </si>
  <si>
    <t>Overdue CAPAs</t>
  </si>
  <si>
    <t>High Risks</t>
  </si>
  <si>
    <t>Documents Due</t>
  </si>
  <si>
    <t>Expired Training</t>
  </si>
  <si>
    <t>ISO 9001:2015 QMS — Revision 1.0</t>
  </si>
  <si>
    <t>Generated:</t>
  </si>
  <si>
    <t>Risk ID</t>
  </si>
  <si>
    <t>Process</t>
  </si>
  <si>
    <t>Description</t>
  </si>
  <si>
    <t>Likelihood</t>
  </si>
  <si>
    <t>Severity</t>
  </si>
  <si>
    <t>Risk Score</t>
  </si>
  <si>
    <t>Owner</t>
  </si>
  <si>
    <t>Treatment Plan</t>
  </si>
  <si>
    <t>Due Date</t>
  </si>
  <si>
    <t>Status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</si>
  <si>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</si>
  <si>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</si>
  <si>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</si>
  <si>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</si>
  <si>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</si>
  <si>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</si>
  <si>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</si>
  <si>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</si>
  <si>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</si>
  <si>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</si>
  <si>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</si>
  <si>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</si>
  <si>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</si>
  <si>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</si>
  <si>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</si>
  <si>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</si>
  <si>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</si>
  <si>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</si>
  <si>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</si>
  <si>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</si>
  <si>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</si>
  <si>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</si>
  <si>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</si>
  <si>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</si>
  <si>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</si>
  <si>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</si>
  <si>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</si>
  <si>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</si>
  <si>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</si>
  <si>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</si>
  <si>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</si>
  <si>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</si>
  <si>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</si>
  <si>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</si>
  <si>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</si>
  <si>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Improvement</t>
  </si>
  <si>
    <t>Production / Operations</t>
  </si>
  <si>
    <t>Support Services</t>
  </si>
  <si>
    <t>Sales &amp; Customer Engagement</t>
  </si>
  <si>
    <t>Logistics / Delivery</t>
  </si>
  <si>
    <t>Procurement</t>
  </si>
  <si>
    <t>Management &amp; Leadership</t>
  </si>
  <si>
    <t>Design &amp; Engineering</t>
  </si>
  <si>
    <t>Quality Control / Inspection</t>
  </si>
  <si>
    <t>Ops Manager</t>
  </si>
  <si>
    <t>Quality Manager</t>
  </si>
  <si>
    <t>Maintenance Manager</t>
  </si>
  <si>
    <t>Projects Manager</t>
  </si>
  <si>
    <t>Closed</t>
  </si>
  <si>
    <t>Open</t>
  </si>
  <si>
    <t>NCR No</t>
  </si>
  <si>
    <t>Date</t>
  </si>
  <si>
    <t>Source</t>
  </si>
  <si>
    <t>Immediate Correction</t>
  </si>
  <si>
    <t>Linked CAPA</t>
  </si>
  <si>
    <t>NCR001</t>
  </si>
  <si>
    <t>NCR002</t>
  </si>
  <si>
    <t>NCR003</t>
  </si>
  <si>
    <t>NCR004</t>
  </si>
  <si>
    <t>NCR005</t>
  </si>
  <si>
    <t>NCR006</t>
  </si>
  <si>
    <t>NCR007</t>
  </si>
  <si>
    <t>NCR008</t>
  </si>
  <si>
    <t>NCR009</t>
  </si>
  <si>
    <t>NCR010</t>
  </si>
  <si>
    <t>NCR011</t>
  </si>
  <si>
    <t>NCR012</t>
  </si>
  <si>
    <t>NCR013</t>
  </si>
  <si>
    <t>NCR014</t>
  </si>
  <si>
    <t>NCR015</t>
  </si>
  <si>
    <t>NCR016</t>
  </si>
  <si>
    <t>NCR017</t>
  </si>
  <si>
    <t>NCR018</t>
  </si>
  <si>
    <t>NCR019</t>
  </si>
  <si>
    <t>NCR020</t>
  </si>
  <si>
    <t>Final Inspection</t>
  </si>
  <si>
    <t>Incorrect impeller clearance on pump overhaul</t>
  </si>
  <si>
    <t>Correction implemented</t>
  </si>
  <si>
    <t>CAPA001</t>
  </si>
  <si>
    <t>CAPA002</t>
  </si>
  <si>
    <t>CAPA003</t>
  </si>
  <si>
    <t>CAPA004</t>
  </si>
  <si>
    <t>CAPA006</t>
  </si>
  <si>
    <t>CAPA007</t>
  </si>
  <si>
    <t>CAPA008</t>
  </si>
  <si>
    <t>CAPA009</t>
  </si>
  <si>
    <t>CAPA010</t>
  </si>
  <si>
    <t>CAPA011</t>
  </si>
  <si>
    <t>CAPA014</t>
  </si>
  <si>
    <t>CAPA015</t>
  </si>
  <si>
    <t>CAPA016</t>
  </si>
  <si>
    <t>CAPA017</t>
  </si>
  <si>
    <t>CAPA018</t>
  </si>
  <si>
    <t>CAPA020</t>
  </si>
  <si>
    <t>CAPA023</t>
  </si>
  <si>
    <t>CAPA025</t>
  </si>
  <si>
    <t>CAPA026</t>
  </si>
  <si>
    <t>CAPA027</t>
  </si>
  <si>
    <t>CAPA030</t>
  </si>
  <si>
    <t>Under Review</t>
  </si>
  <si>
    <t>CAPA No</t>
  </si>
  <si>
    <t>Linked NCR</t>
  </si>
  <si>
    <t>Date Raised</t>
  </si>
  <si>
    <t>Root Cause</t>
  </si>
  <si>
    <t>Corrective Action</t>
  </si>
  <si>
    <t>Target Date</t>
  </si>
  <si>
    <t>Completion Date</t>
  </si>
  <si>
    <t>Effectiveness</t>
  </si>
  <si>
    <t>CAPA005</t>
  </si>
  <si>
    <t>CAPA012</t>
  </si>
  <si>
    <t>CAPA013</t>
  </si>
  <si>
    <t>CAPA019</t>
  </si>
  <si>
    <t>CAPA021</t>
  </si>
  <si>
    <t>CAPA022</t>
  </si>
  <si>
    <t>CAPA024</t>
  </si>
  <si>
    <t>CAPA028</t>
  </si>
  <si>
    <t>CAPA029</t>
  </si>
  <si>
    <t>CAPA031</t>
  </si>
  <si>
    <t>Inadequate work instruction</t>
  </si>
  <si>
    <t>Update WI / retrain staff / improve inspection</t>
  </si>
  <si>
    <t>Not Verified</t>
  </si>
  <si>
    <t>Overdue</t>
  </si>
  <si>
    <t>Audit ID</t>
  </si>
  <si>
    <t>Auditor</t>
  </si>
  <si>
    <t>Planned Date</t>
  </si>
  <si>
    <t>Actual Date</t>
  </si>
  <si>
    <t>Findings</t>
  </si>
  <si>
    <t>NC Raised</t>
  </si>
  <si>
    <t>AUD001</t>
  </si>
  <si>
    <t>AUD002</t>
  </si>
  <si>
    <t>AUD003</t>
  </si>
  <si>
    <t>AUD004</t>
  </si>
  <si>
    <t>AUD005</t>
  </si>
  <si>
    <t>AUD006</t>
  </si>
  <si>
    <t>AUD007</t>
  </si>
  <si>
    <t>AUD008</t>
  </si>
  <si>
    <t>AUD009</t>
  </si>
  <si>
    <t>AUD010</t>
  </si>
  <si>
    <t>AUD011</t>
  </si>
  <si>
    <t>AUD012</t>
  </si>
  <si>
    <t>AUD013</t>
  </si>
  <si>
    <t>AUD014</t>
  </si>
  <si>
    <t>AUD015</t>
  </si>
  <si>
    <t>AUD016</t>
  </si>
  <si>
    <t>AUD017</t>
  </si>
  <si>
    <t>AUD018</t>
  </si>
  <si>
    <t>AUD019</t>
  </si>
  <si>
    <t>AUD020</t>
  </si>
  <si>
    <t>AUD021</t>
  </si>
  <si>
    <t>AUD022</t>
  </si>
  <si>
    <t>AUD023</t>
  </si>
  <si>
    <t>AUD024</t>
  </si>
  <si>
    <t>AUD025</t>
  </si>
  <si>
    <t>AUD026</t>
  </si>
  <si>
    <t>AUD027</t>
  </si>
  <si>
    <t>Completed</t>
  </si>
  <si>
    <t>Doc No</t>
  </si>
  <si>
    <t>Title</t>
  </si>
  <si>
    <t>Rev</t>
  </si>
  <si>
    <t>Issue Date</t>
  </si>
  <si>
    <t>Next Review</t>
  </si>
  <si>
    <t>QMS-001</t>
  </si>
  <si>
    <t>Quality Manual</t>
  </si>
  <si>
    <t>Engineering Manager</t>
  </si>
  <si>
    <t>Active</t>
  </si>
  <si>
    <t>Employee</t>
  </si>
  <si>
    <t>Training Type</t>
  </si>
  <si>
    <t>Date Completed</t>
  </si>
  <si>
    <t>Next Due</t>
  </si>
  <si>
    <t>Inspector</t>
  </si>
  <si>
    <t>Valid</t>
  </si>
  <si>
    <t>Expired</t>
  </si>
  <si>
    <t>Supplier</t>
  </si>
  <si>
    <t>Scope</t>
  </si>
  <si>
    <t>Score</t>
  </si>
  <si>
    <t>Band</t>
  </si>
  <si>
    <t>Approval Status</t>
  </si>
  <si>
    <t>Last Review</t>
  </si>
  <si>
    <t>Topic</t>
  </si>
  <si>
    <t>Source Sheet</t>
  </si>
  <si>
    <t>Auto-Value</t>
  </si>
  <si>
    <t>Notes</t>
  </si>
  <si>
    <t>Customer complaints</t>
  </si>
  <si>
    <t>Internal audit results</t>
  </si>
  <si>
    <t>CAPA status</t>
  </si>
  <si>
    <t>Supplier performance</t>
  </si>
  <si>
    <t>Training status</t>
  </si>
  <si>
    <t>Risk profile</t>
  </si>
  <si>
    <t>NCR_Log</t>
  </si>
  <si>
    <t>Internal_Audits</t>
  </si>
  <si>
    <t>CAPA</t>
  </si>
  <si>
    <t>Supplier_Eval</t>
  </si>
  <si>
    <t>Training</t>
  </si>
  <si>
    <t>Risk_Register</t>
  </si>
  <si>
    <t>Auto-summary in Stage 2</t>
  </si>
  <si>
    <t>Inputs</t>
  </si>
  <si>
    <t>Outputs</t>
  </si>
  <si>
    <t>Upstream</t>
  </si>
  <si>
    <t>Downstream</t>
  </si>
  <si>
    <t>All Processes</t>
  </si>
  <si>
    <t>Customer</t>
  </si>
  <si>
    <t>Count</t>
  </si>
  <si>
    <t xml:space="preserve">Inspection ID </t>
  </si>
  <si>
    <t>Result</t>
  </si>
  <si>
    <t>Comments</t>
  </si>
  <si>
    <t>Area</t>
  </si>
  <si>
    <t>Criteria inspected</t>
  </si>
  <si>
    <t>Spray room</t>
  </si>
  <si>
    <t xml:space="preserve">Rudi </t>
  </si>
  <si>
    <t>Buying</t>
  </si>
  <si>
    <t>Receiving buying req</t>
  </si>
  <si>
    <t>Sam</t>
  </si>
  <si>
    <t>Check customer specification</t>
  </si>
  <si>
    <t>Reviewed</t>
  </si>
  <si>
    <t>Get quote from supplier</t>
  </si>
  <si>
    <t>No treatment plan</t>
  </si>
  <si>
    <t>IT</t>
  </si>
  <si>
    <t>Genarate order on sap system</t>
  </si>
  <si>
    <t>Directors to approve orders</t>
  </si>
  <si>
    <t>Stores receive items ordered</t>
  </si>
  <si>
    <t>Check correct supplied</t>
  </si>
  <si>
    <t>Receive sighned orders/del notes/tax inv</t>
  </si>
  <si>
    <t>Book into Sap system</t>
  </si>
  <si>
    <t>Late payment to suppliers</t>
  </si>
  <si>
    <t>Send documents to creditors</t>
  </si>
  <si>
    <t>Back up server info</t>
  </si>
  <si>
    <t>Allan</t>
  </si>
  <si>
    <t>Network failure</t>
  </si>
  <si>
    <t>Malware/spy ware infection</t>
  </si>
  <si>
    <t xml:space="preserve">Allan </t>
  </si>
  <si>
    <t>Lightning/power surge</t>
  </si>
  <si>
    <t>Power outage</t>
  </si>
  <si>
    <t>Planning</t>
  </si>
  <si>
    <t>Identifying goods received</t>
  </si>
  <si>
    <t>Make drawings as requested/supplied</t>
  </si>
  <si>
    <t>David</t>
  </si>
  <si>
    <t>make sure info correct</t>
  </si>
  <si>
    <t>Receive customer requirement forms</t>
  </si>
  <si>
    <t>Genarate job cards</t>
  </si>
  <si>
    <t>Genarate delivery note</t>
  </si>
  <si>
    <t>Caoturing of time sheets</t>
  </si>
  <si>
    <t>Magda double check from costing</t>
  </si>
  <si>
    <t>Complete job cards sighned off</t>
  </si>
  <si>
    <t>Ad new job cards to working progress</t>
  </si>
  <si>
    <t>Workshop</t>
  </si>
  <si>
    <t>Receive job cards</t>
  </si>
  <si>
    <t>Stephen</t>
  </si>
  <si>
    <t>Prep machine components</t>
  </si>
  <si>
    <t>Final machine components</t>
  </si>
  <si>
    <t>verify inspection caried out</t>
  </si>
  <si>
    <t>Strip nonforming components</t>
  </si>
  <si>
    <t>Recalibrate measuring equipment</t>
  </si>
  <si>
    <t>Final hone components</t>
  </si>
  <si>
    <t>Verify final sizes to specs</t>
  </si>
  <si>
    <t>Creditors</t>
  </si>
  <si>
    <t>Chech paperwork and sighnatures</t>
  </si>
  <si>
    <t>Yvonne</t>
  </si>
  <si>
    <t>Load invoice on Sap</t>
  </si>
  <si>
    <t>Gather info from remittance</t>
  </si>
  <si>
    <t>Printing Sap/aging analysis</t>
  </si>
  <si>
    <t>Go for verification</t>
  </si>
  <si>
    <t>Type payment batch</t>
  </si>
  <si>
    <t>Load payment batch</t>
  </si>
  <si>
    <t>Checking bank</t>
  </si>
  <si>
    <t>Recon bank to Sap</t>
  </si>
  <si>
    <t>RO36</t>
  </si>
  <si>
    <t>RO37</t>
  </si>
  <si>
    <t>RO38</t>
  </si>
  <si>
    <t>RO39</t>
  </si>
  <si>
    <t>RO40</t>
  </si>
  <si>
    <t>Debtors</t>
  </si>
  <si>
    <t>RO41</t>
  </si>
  <si>
    <t>Receiving job cards and POD`s</t>
  </si>
  <si>
    <t>Tessa/Yvonne</t>
  </si>
  <si>
    <t>Awareness of process</t>
  </si>
  <si>
    <t>Genarate invoices</t>
  </si>
  <si>
    <t>Send invoice to customer</t>
  </si>
  <si>
    <t>Filing of documents</t>
  </si>
  <si>
    <t>Retain hard &amp; electronic copy</t>
  </si>
  <si>
    <t>Yvonne to follow up payments</t>
  </si>
  <si>
    <t>Receive payments</t>
  </si>
  <si>
    <t>Put on C.O.D.Bad payment</t>
  </si>
  <si>
    <t>RO42</t>
  </si>
  <si>
    <t>RO43</t>
  </si>
  <si>
    <t>RO44</t>
  </si>
  <si>
    <t>RO45</t>
  </si>
  <si>
    <t>RO46</t>
  </si>
  <si>
    <t>RO47</t>
  </si>
  <si>
    <t>RO48</t>
  </si>
  <si>
    <t>RO49</t>
  </si>
  <si>
    <t>RO50</t>
  </si>
  <si>
    <t>Fitting</t>
  </si>
  <si>
    <t>Receive strip job card</t>
  </si>
  <si>
    <t>Rudi/Amos</t>
  </si>
  <si>
    <t>Segregate components</t>
  </si>
  <si>
    <t>Drill &amp;tap components</t>
  </si>
  <si>
    <t>Assemble of pumps &amp;components</t>
  </si>
  <si>
    <t>Final inspection</t>
  </si>
  <si>
    <t>Preasure test pumps</t>
  </si>
  <si>
    <t>Fit pipe work</t>
  </si>
  <si>
    <t>Paint pump/supply stickers</t>
  </si>
  <si>
    <t>RO51</t>
  </si>
  <si>
    <t>RO52</t>
  </si>
  <si>
    <t>RO53</t>
  </si>
  <si>
    <t>RO54</t>
  </si>
  <si>
    <t>RO55</t>
  </si>
  <si>
    <t>RO56</t>
  </si>
  <si>
    <t>RO57</t>
  </si>
  <si>
    <t>RO58</t>
  </si>
  <si>
    <t>RO59</t>
  </si>
  <si>
    <t>RO60</t>
  </si>
  <si>
    <t>Grinding</t>
  </si>
  <si>
    <t>Grind components to specification</t>
  </si>
  <si>
    <t>Generate ncr</t>
  </si>
  <si>
    <t>Check process &amp;r calibrate equipment</t>
  </si>
  <si>
    <t>Grind comp to specs</t>
  </si>
  <si>
    <t xml:space="preserve">RO61 </t>
  </si>
  <si>
    <t>RO62</t>
  </si>
  <si>
    <t>RO63</t>
  </si>
  <si>
    <t>RO64</t>
  </si>
  <si>
    <t>RO65</t>
  </si>
  <si>
    <t>Poly/robot</t>
  </si>
  <si>
    <t>Receive scope of work/job card</t>
  </si>
  <si>
    <t>Identify areas to be coated</t>
  </si>
  <si>
    <t>Coat components as requested</t>
  </si>
  <si>
    <t>Ensure correct coating applied/sizes</t>
  </si>
  <si>
    <t>Generate internal ncr</t>
  </si>
  <si>
    <t>Recoat componants</t>
  </si>
  <si>
    <t>Program robot</t>
  </si>
  <si>
    <t>Correct setting</t>
  </si>
  <si>
    <t>RO66</t>
  </si>
  <si>
    <t>RO67</t>
  </si>
  <si>
    <t>RO68</t>
  </si>
  <si>
    <t>RO69</t>
  </si>
  <si>
    <t>RO70</t>
  </si>
  <si>
    <t>Stores</t>
  </si>
  <si>
    <t>Rec item.generate stores receive note1</t>
  </si>
  <si>
    <t>Magda</t>
  </si>
  <si>
    <t>Book stock on Sap.</t>
  </si>
  <si>
    <t>Goods receive/incorrect allocation</t>
  </si>
  <si>
    <t>Gen customer req form</t>
  </si>
  <si>
    <t>Gen stock card raw casting</t>
  </si>
  <si>
    <t>Final finished job costing</t>
  </si>
  <si>
    <t>Book stock out of stores</t>
  </si>
  <si>
    <t>final inspection</t>
  </si>
  <si>
    <t>Month end stock take</t>
  </si>
  <si>
    <t>Double check stock count</t>
  </si>
  <si>
    <t>Customer job costing</t>
  </si>
  <si>
    <t>accurate traceability to job</t>
  </si>
  <si>
    <t>RO71</t>
  </si>
  <si>
    <t>RO72</t>
  </si>
  <si>
    <t>RO73</t>
  </si>
  <si>
    <t>RO74</t>
  </si>
  <si>
    <t>RO75</t>
  </si>
  <si>
    <t>RO76</t>
  </si>
  <si>
    <t>Sprayrooms</t>
  </si>
  <si>
    <t>Basil</t>
  </si>
  <si>
    <t>Identifi areas not to be coated</t>
  </si>
  <si>
    <t>Coat areas as requested</t>
  </si>
  <si>
    <t>NCR021</t>
  </si>
  <si>
    <t>NCR022</t>
  </si>
  <si>
    <t>NCR023</t>
  </si>
  <si>
    <t>NCR024</t>
  </si>
  <si>
    <t>NCR025</t>
  </si>
  <si>
    <t>NCR026</t>
  </si>
  <si>
    <t>NCR027</t>
  </si>
  <si>
    <t>NCR028</t>
  </si>
  <si>
    <t>NCR029</t>
  </si>
  <si>
    <t>NCR030</t>
  </si>
  <si>
    <t>NCR031</t>
  </si>
  <si>
    <t>P&amp;S Engineering</t>
  </si>
  <si>
    <t>Bearing journals not grind to spec, bearings were oversize</t>
  </si>
  <si>
    <t>Repair instruction issued</t>
  </si>
  <si>
    <t>Quality rep</t>
  </si>
  <si>
    <t>Final inspection not done - in process failure</t>
  </si>
  <si>
    <t>Aklin re-grind the bearing</t>
  </si>
  <si>
    <t>Verified</t>
  </si>
  <si>
    <t>Knight sales</t>
  </si>
  <si>
    <t>Castings - Foundry</t>
  </si>
  <si>
    <t>Compenent</t>
  </si>
  <si>
    <t>Aprroved</t>
  </si>
  <si>
    <t>imp boss off center</t>
  </si>
  <si>
    <t>return to foundre and replace</t>
  </si>
  <si>
    <t xml:space="preserve">Clifford </t>
  </si>
  <si>
    <t>impeller boss off centre</t>
  </si>
  <si>
    <t>Clifford</t>
  </si>
  <si>
    <t xml:space="preserve"> return to Knights sales and replace</t>
  </si>
  <si>
    <t>closed</t>
  </si>
  <si>
    <t>ncr no</t>
  </si>
  <si>
    <t>Knights sales</t>
  </si>
  <si>
    <t>Inferior casting</t>
  </si>
  <si>
    <t>Inferior Casting</t>
  </si>
  <si>
    <t>return to Knights sales and replace</t>
  </si>
  <si>
    <t>Inferior castings</t>
  </si>
  <si>
    <t>Holes in casting</t>
  </si>
  <si>
    <t>Studbolt distributors</t>
  </si>
  <si>
    <t xml:space="preserve">Nuts to loose on studs.customer rejected </t>
  </si>
  <si>
    <t>replace</t>
  </si>
  <si>
    <t>nuts loose on studs</t>
  </si>
  <si>
    <t>Ebenhaeser eng</t>
  </si>
  <si>
    <t>please rectify</t>
  </si>
  <si>
    <t>rectify</t>
  </si>
  <si>
    <t>brg jnl location to short</t>
  </si>
  <si>
    <t>lengthen jnl</t>
  </si>
  <si>
    <t>lengthen</t>
  </si>
  <si>
    <t>bore not concentric to vanes</t>
  </si>
  <si>
    <t>Aklin</t>
  </si>
  <si>
    <t>threads badly damaged</t>
  </si>
  <si>
    <t>blow holes in casting</t>
  </si>
  <si>
    <t>spray pannels</t>
  </si>
  <si>
    <t>pass</t>
  </si>
  <si>
    <t>OQP-01</t>
  </si>
  <si>
    <t>SCOPE/OBJECTIVES</t>
  </si>
  <si>
    <t>RUDI</t>
  </si>
  <si>
    <t>OQP-02</t>
  </si>
  <si>
    <t>REFERENCE</t>
  </si>
  <si>
    <t>OQP-03</t>
  </si>
  <si>
    <t>TERMS AND ABBREVIATIONS</t>
  </si>
  <si>
    <t>OQP-04</t>
  </si>
  <si>
    <t>CONTEXT OF THE ORGANISATION</t>
  </si>
  <si>
    <t>OQP-05</t>
  </si>
  <si>
    <t>LEADERSHIP</t>
  </si>
  <si>
    <t>OQP-06</t>
  </si>
  <si>
    <t>PLANNING</t>
  </si>
  <si>
    <t>OQP-07</t>
  </si>
  <si>
    <t>SUPPORT/RESOURCES</t>
  </si>
  <si>
    <t>OQP-08</t>
  </si>
  <si>
    <t>OPERATIONS</t>
  </si>
  <si>
    <t>OQP-09</t>
  </si>
  <si>
    <t>PERFORMANCE EVALUATIONS</t>
  </si>
  <si>
    <t>OQP-10</t>
  </si>
  <si>
    <t>IMPROVEMENT</t>
  </si>
  <si>
    <t>QPM-01</t>
  </si>
  <si>
    <t>Aklin Carbide (pty)ltd</t>
  </si>
  <si>
    <t>ATT NO-01</t>
  </si>
  <si>
    <t>document change request (DCR 01)</t>
  </si>
  <si>
    <t>document change request register (DCR 02)</t>
  </si>
  <si>
    <t>ATT NO-03</t>
  </si>
  <si>
    <t>ATT NO-02</t>
  </si>
  <si>
    <t>sample stamps</t>
  </si>
  <si>
    <t>ATT NO-04</t>
  </si>
  <si>
    <t>Buying requisition</t>
  </si>
  <si>
    <t>ATT NO-05</t>
  </si>
  <si>
    <t>PURCHASEORDER</t>
  </si>
  <si>
    <t>ATT NO-06</t>
  </si>
  <si>
    <t>SAMPLE LABELS</t>
  </si>
  <si>
    <t>ATT NO-07</t>
  </si>
  <si>
    <t>NON CONFORMANCE REPORT</t>
  </si>
  <si>
    <t>ATT NO-08</t>
  </si>
  <si>
    <t>CUSTOMER REQUIREMENT FORM</t>
  </si>
  <si>
    <t>ATT NO-09</t>
  </si>
  <si>
    <t>JOB CARD</t>
  </si>
  <si>
    <t>QUALITY PLAN</t>
  </si>
  <si>
    <t>ATT NO-11</t>
  </si>
  <si>
    <t>ATT NO-10</t>
  </si>
  <si>
    <t>DAILY TIME SHEET</t>
  </si>
  <si>
    <t>ATT NO-12</t>
  </si>
  <si>
    <t>DELIVERY NOTE</t>
  </si>
  <si>
    <t>ATT NO-13</t>
  </si>
  <si>
    <t>GOODS RECEIVING NOTE (GRN)</t>
  </si>
  <si>
    <t>ATT NO-14</t>
  </si>
  <si>
    <t>CALIBRATION CONTROL REGISTER</t>
  </si>
  <si>
    <t>ATT NO-15</t>
  </si>
  <si>
    <t>INTERNAL AUDIT SCHEDULE/REGISTER</t>
  </si>
  <si>
    <t>ATT NO-16</t>
  </si>
  <si>
    <t>SUPPLIERS COMPLIANCE EVALUATION</t>
  </si>
  <si>
    <t>ATT NO-17</t>
  </si>
  <si>
    <t>INTERNALAUDIT FINDINGS REPORT</t>
  </si>
  <si>
    <t>ATT NO-18</t>
  </si>
  <si>
    <t>ATT NO-19</t>
  </si>
  <si>
    <t>INTERNAL AUDIT REPORT SHEET</t>
  </si>
  <si>
    <t>AUDIT PLANNING SCHEDULE</t>
  </si>
  <si>
    <t>ATT NO-20</t>
  </si>
  <si>
    <t>SPRAY SAMPLE RECORD SHEET</t>
  </si>
  <si>
    <t>ATT NO-21</t>
  </si>
  <si>
    <t>CORRECTIVE ACTION REPORT</t>
  </si>
  <si>
    <t>ATT NO-22</t>
  </si>
  <si>
    <t>CUSTOMER COMPLAINT REPORT</t>
  </si>
  <si>
    <t>ATT NO-23</t>
  </si>
  <si>
    <t>STOCK JOB CARD</t>
  </si>
  <si>
    <t>ATT NO-24</t>
  </si>
  <si>
    <t>STORES RECEIVE NOTE</t>
  </si>
  <si>
    <t>ATT NO-25</t>
  </si>
  <si>
    <t>STORES REQUISITION</t>
  </si>
  <si>
    <t>ATT NO-26</t>
  </si>
  <si>
    <t>INTERNAL REWORK AND CORRECTIVE ACTION CARD</t>
  </si>
  <si>
    <t>ATT NO-27</t>
  </si>
  <si>
    <t>CUSTOMER SERVISE QUALITY</t>
  </si>
  <si>
    <t>ATT NO-28</t>
  </si>
  <si>
    <t xml:space="preserve">QUALITY QUESTIONNAIRE </t>
  </si>
  <si>
    <t>ATT NO-29</t>
  </si>
  <si>
    <t>SCHEDULED MAINTENANCE RECORD</t>
  </si>
  <si>
    <t>ATT NO-30</t>
  </si>
  <si>
    <t>EXTERNAL DOCUMENT REGISTER</t>
  </si>
  <si>
    <t>ATT NO-31</t>
  </si>
  <si>
    <t>TRAINING NEEDS ANALYSIS MATRIX</t>
  </si>
  <si>
    <t>ATT NO-32</t>
  </si>
  <si>
    <t>VENDOR AUDITCHECKLIST</t>
  </si>
  <si>
    <t>ATT NO-33</t>
  </si>
  <si>
    <t>VENDOR PERFORMANCE LOG</t>
  </si>
  <si>
    <t>ATT NO-34</t>
  </si>
  <si>
    <t>VENDOR LIST APPLICATION</t>
  </si>
  <si>
    <t>ATT NO-35</t>
  </si>
  <si>
    <t>ATT NO-36</t>
  </si>
  <si>
    <t>ACCOUNT APPLICATION FORM</t>
  </si>
  <si>
    <t>CREDIT REFERENCE INFORMATION REQUEST</t>
  </si>
  <si>
    <t xml:space="preserve">ATT NO-37 </t>
  </si>
  <si>
    <t>FILE CARD FOR STOCK</t>
  </si>
  <si>
    <t>,,,,,,,,,,,,,,,,,,</t>
  </si>
  <si>
    <t>ATT NO-38</t>
  </si>
  <si>
    <t>RECORD OF TRAINING-(INTERNAL)</t>
  </si>
  <si>
    <t>FC 001</t>
  </si>
  <si>
    <t>ARC SPRAY PROCESS</t>
  </si>
  <si>
    <t xml:space="preserve">FC002 </t>
  </si>
  <si>
    <t>PLASMA ARC SPRAY PROCESS</t>
  </si>
  <si>
    <t xml:space="preserve">FC003 </t>
  </si>
  <si>
    <t>ROCKIDE CERAMIC PROCESS</t>
  </si>
  <si>
    <t>FC 004</t>
  </si>
  <si>
    <t>HIGH VELOCITY PROCESS</t>
  </si>
  <si>
    <t>FC 005</t>
  </si>
  <si>
    <t>POLYURATHANE PROCESS</t>
  </si>
  <si>
    <t>FC 006</t>
  </si>
  <si>
    <t>MAIN ORGANISATION</t>
  </si>
  <si>
    <t>FC 007</t>
  </si>
  <si>
    <t>RECEIVING OF GOODS</t>
  </si>
  <si>
    <t>FITTING DEP</t>
  </si>
  <si>
    <t>NO</t>
  </si>
  <si>
    <t>GAS PIPES PERRICHED.REPLACE</t>
  </si>
  <si>
    <t>GRIT BLAST 3RD  BAY</t>
  </si>
  <si>
    <t>NONE</t>
  </si>
  <si>
    <t>SPRAY ROOMS</t>
  </si>
  <si>
    <t>HOUSEKEEPING DOWN.CLEAN ROOMS</t>
  </si>
  <si>
    <t>WELDING BAY</t>
  </si>
  <si>
    <t>DIRTY.CLEAN AND SWEEP BAY</t>
  </si>
  <si>
    <t>FETTELING AND GRINDING BAY</t>
  </si>
  <si>
    <t>DIRTY FROM STRIPPING PUMPS.CLEAN</t>
  </si>
  <si>
    <t>MACHINING</t>
  </si>
  <si>
    <t>WATER TANKS SMELLY FROM DIRTY WATER</t>
  </si>
  <si>
    <t>MAINTENANCE</t>
  </si>
  <si>
    <t>ALL GOOD</t>
  </si>
  <si>
    <t>INCOMING INSPECTION</t>
  </si>
  <si>
    <t>WELDING FETTELING GRINDING</t>
  </si>
  <si>
    <t>STORES</t>
  </si>
  <si>
    <t>CLEAN AND TIDY</t>
  </si>
  <si>
    <t>GASS BOTTLES AND PIPES</t>
  </si>
  <si>
    <t>PASS</t>
  </si>
  <si>
    <t xml:space="preserve">GRIT BLAST </t>
  </si>
  <si>
    <t>LIGHTING INSIDE BLAST</t>
  </si>
  <si>
    <t>CRANES AND HOISTS</t>
  </si>
  <si>
    <t>WELDING</t>
  </si>
  <si>
    <t>PPE</t>
  </si>
  <si>
    <t>INSPECTION</t>
  </si>
  <si>
    <t>STATE OF MEASURING EQ</t>
  </si>
  <si>
    <t>OVERALL STATE OF ROOM</t>
  </si>
  <si>
    <t>SIGHNS AND LOGOS</t>
  </si>
  <si>
    <t>SPRAY ROOM (ROBOT)</t>
  </si>
  <si>
    <t>PANNEL AND LIGHTING</t>
  </si>
  <si>
    <t>fitter/turner</t>
  </si>
  <si>
    <t>trade cert</t>
  </si>
  <si>
    <t>compotent</t>
  </si>
  <si>
    <t>induction</t>
  </si>
  <si>
    <t>Aldrich Zurk</t>
  </si>
  <si>
    <t>ID NO</t>
  </si>
  <si>
    <t>Compotent</t>
  </si>
  <si>
    <t>Remarks</t>
  </si>
  <si>
    <t>Wage no</t>
  </si>
  <si>
    <t>W819</t>
  </si>
  <si>
    <t>Occupation</t>
  </si>
  <si>
    <t>Alberts Tinus</t>
  </si>
  <si>
    <t>Pump manager</t>
  </si>
  <si>
    <t>Date competed</t>
  </si>
  <si>
    <t>RPM</t>
  </si>
  <si>
    <t>Breathaliser</t>
  </si>
  <si>
    <t>Bezuidenhout Chris</t>
  </si>
  <si>
    <t>fitters assistant</t>
  </si>
  <si>
    <t>none</t>
  </si>
  <si>
    <t>NYC</t>
  </si>
  <si>
    <t>W825</t>
  </si>
  <si>
    <t>basic slinging</t>
  </si>
  <si>
    <t>expiry date</t>
  </si>
  <si>
    <t>Bester Roedolf R</t>
  </si>
  <si>
    <t>Quality officer</t>
  </si>
  <si>
    <t>W713</t>
  </si>
  <si>
    <t>basic rigging</t>
  </si>
  <si>
    <t>Forklift 3t</t>
  </si>
  <si>
    <t>O/H Crane 10t</t>
  </si>
  <si>
    <t>N/A</t>
  </si>
  <si>
    <t>Badenhorst Theuns</t>
  </si>
  <si>
    <t>senior cert</t>
  </si>
  <si>
    <t>valid</t>
  </si>
  <si>
    <t>Boringmill opperator</t>
  </si>
  <si>
    <t>Senior cert</t>
  </si>
  <si>
    <t>W737</t>
  </si>
  <si>
    <t>Brown Clerence</t>
  </si>
  <si>
    <t>Workshop assistant</t>
  </si>
  <si>
    <t>national cert</t>
  </si>
  <si>
    <t>W732</t>
  </si>
  <si>
    <t>first aid l1</t>
  </si>
  <si>
    <t>turner</t>
  </si>
  <si>
    <t>basic fire fighting</t>
  </si>
  <si>
    <t>Bottoman Wonderful</t>
  </si>
  <si>
    <t>GR 10</t>
  </si>
  <si>
    <t>W793</t>
  </si>
  <si>
    <t>Brown Brian</t>
  </si>
  <si>
    <t>Cylindrical grinder</t>
  </si>
  <si>
    <t>W718</t>
  </si>
  <si>
    <t>Chauke Aron</t>
  </si>
  <si>
    <t>Fettler/grinder</t>
  </si>
  <si>
    <t>W706</t>
  </si>
  <si>
    <t>Chevure Leviticus</t>
  </si>
  <si>
    <t>Ae609634</t>
  </si>
  <si>
    <t>Cnc machinist</t>
  </si>
  <si>
    <t>cert</t>
  </si>
  <si>
    <t>W823</t>
  </si>
  <si>
    <t>cnc training</t>
  </si>
  <si>
    <t xml:space="preserve">Drotsky Jacques </t>
  </si>
  <si>
    <t>Workshop manager</t>
  </si>
  <si>
    <t>S951</t>
  </si>
  <si>
    <t>PT-NDT l2</t>
  </si>
  <si>
    <t>QMS imp</t>
  </si>
  <si>
    <t>Int aud</t>
  </si>
  <si>
    <t>Iso transition</t>
  </si>
  <si>
    <t>Risk management</t>
  </si>
  <si>
    <t>Comp cert (w man)</t>
  </si>
  <si>
    <t xml:space="preserve">Dhlamini Lucky </t>
  </si>
  <si>
    <t>Metal sprayer</t>
  </si>
  <si>
    <t>senior sert</t>
  </si>
  <si>
    <t>W810</t>
  </si>
  <si>
    <t>plasma spray</t>
  </si>
  <si>
    <t>Gericke Tessa</t>
  </si>
  <si>
    <t>Receptionist</t>
  </si>
  <si>
    <t>Gr11</t>
  </si>
  <si>
    <t>Gundwana Innocent</t>
  </si>
  <si>
    <t>cylindrical grinder</t>
  </si>
  <si>
    <t>W826</t>
  </si>
  <si>
    <t xml:space="preserve">NYC </t>
  </si>
  <si>
    <t>Gwatirera Amos</t>
  </si>
  <si>
    <t>Fitter</t>
  </si>
  <si>
    <t>W704</t>
  </si>
  <si>
    <t>Hansmeyer Michael</t>
  </si>
  <si>
    <t>Turner</t>
  </si>
  <si>
    <t>CNC miller</t>
  </si>
  <si>
    <t>W795</t>
  </si>
  <si>
    <t>Kosze Clifford</t>
  </si>
  <si>
    <t>QC inspector</t>
  </si>
  <si>
    <t>W720</t>
  </si>
  <si>
    <t>Lefalakane Justice</t>
  </si>
  <si>
    <t>W818</t>
  </si>
  <si>
    <t xml:space="preserve">polly </t>
  </si>
  <si>
    <t>jetcote</t>
  </si>
  <si>
    <t>fire fighting</t>
  </si>
  <si>
    <t>fanuc robot training</t>
  </si>
  <si>
    <t>Mbele Hector</t>
  </si>
  <si>
    <t>machine opperator</t>
  </si>
  <si>
    <t>W768</t>
  </si>
  <si>
    <t>bertical boring mill</t>
  </si>
  <si>
    <t>Mtshiki Ernest</t>
  </si>
  <si>
    <t>Lathe opperator</t>
  </si>
  <si>
    <t>gr11</t>
  </si>
  <si>
    <t>W798</t>
  </si>
  <si>
    <t>Mofokeng Richard</t>
  </si>
  <si>
    <t>Pump fitter</t>
  </si>
  <si>
    <t>W827</t>
  </si>
  <si>
    <t>Mokoena Jan</t>
  </si>
  <si>
    <t>Grit blaster</t>
  </si>
  <si>
    <t>W738</t>
  </si>
  <si>
    <t>Mboto Vukile</t>
  </si>
  <si>
    <t>QC inspectopr</t>
  </si>
  <si>
    <t>W785</t>
  </si>
  <si>
    <t>Minaar Hartly</t>
  </si>
  <si>
    <t>polly opperator</t>
  </si>
  <si>
    <t>gr10</t>
  </si>
  <si>
    <t>W822</t>
  </si>
  <si>
    <t>O/H crane</t>
  </si>
  <si>
    <t>forklift</t>
  </si>
  <si>
    <t>slinging</t>
  </si>
  <si>
    <t>Mofokeng Jonas</t>
  </si>
  <si>
    <t>W824</t>
  </si>
  <si>
    <t>Mkhwanazi Charity</t>
  </si>
  <si>
    <t>Spray room operator</t>
  </si>
  <si>
    <t>W820</t>
  </si>
  <si>
    <t>grit blast</t>
  </si>
  <si>
    <t>fire fighter</t>
  </si>
  <si>
    <t>basic sling/rigging</t>
  </si>
  <si>
    <t>Mothupi Benjamin</t>
  </si>
  <si>
    <t>Driver</t>
  </si>
  <si>
    <t>W764</t>
  </si>
  <si>
    <t>Basic slinging</t>
  </si>
  <si>
    <t xml:space="preserve"> Mabaso Elizabeth</t>
  </si>
  <si>
    <t>Cleaner</t>
  </si>
  <si>
    <t>W778</t>
  </si>
  <si>
    <t>Mapeka Isaac</t>
  </si>
  <si>
    <t>Painter/sprayer</t>
  </si>
  <si>
    <t>W782</t>
  </si>
  <si>
    <t>Mboto Ellias</t>
  </si>
  <si>
    <t>W791</t>
  </si>
  <si>
    <t>Mbele Paulos</t>
  </si>
  <si>
    <t>Welder</t>
  </si>
  <si>
    <t>W817</t>
  </si>
  <si>
    <t>welder assist</t>
  </si>
  <si>
    <t>Mohlala Lucas</t>
  </si>
  <si>
    <t>Aklin security</t>
  </si>
  <si>
    <t>W772</t>
  </si>
  <si>
    <t>security cert gr E</t>
  </si>
  <si>
    <t>Security cert gr D</t>
  </si>
  <si>
    <t>Security cert gr C</t>
  </si>
  <si>
    <t>handgun</t>
  </si>
  <si>
    <t>shotgun</t>
  </si>
  <si>
    <t>Makgoga Sam</t>
  </si>
  <si>
    <t>Buyer</t>
  </si>
  <si>
    <t>affidavit</t>
  </si>
  <si>
    <t>S997</t>
  </si>
  <si>
    <t>Mkhwanazi Sheila</t>
  </si>
  <si>
    <t>W711</t>
  </si>
  <si>
    <t>first aid L1</t>
  </si>
  <si>
    <t>Makgarietse Cline</t>
  </si>
  <si>
    <t>Sprayer</t>
  </si>
  <si>
    <t>W727</t>
  </si>
  <si>
    <t>Mqomboti Mzoxolo</t>
  </si>
  <si>
    <t>Gritblast</t>
  </si>
  <si>
    <t>W736</t>
  </si>
  <si>
    <t>Magane John</t>
  </si>
  <si>
    <t>Machine operator</t>
  </si>
  <si>
    <t>W724</t>
  </si>
  <si>
    <t>Trade cert turner</t>
  </si>
  <si>
    <t>Mohanoa Pertus</t>
  </si>
  <si>
    <t>Crane operator</t>
  </si>
  <si>
    <t>W808</t>
  </si>
  <si>
    <t>crane opperator</t>
  </si>
  <si>
    <t>Mpore Kenny</t>
  </si>
  <si>
    <t>Store man</t>
  </si>
  <si>
    <t>W809</t>
  </si>
  <si>
    <t>Nkala Abel</t>
  </si>
  <si>
    <t>W725</t>
  </si>
  <si>
    <t>Fitter/turner trade cert</t>
  </si>
  <si>
    <t>Ndinginya Matthews</t>
  </si>
  <si>
    <t>Gr9</t>
  </si>
  <si>
    <t>W786</t>
  </si>
  <si>
    <t>Nhlapo Amos</t>
  </si>
  <si>
    <t>W806</t>
  </si>
  <si>
    <t>Nanyane Job</t>
  </si>
  <si>
    <t>Maintenance</t>
  </si>
  <si>
    <t>W812</t>
  </si>
  <si>
    <t xml:space="preserve">Petterson Marvalous </t>
  </si>
  <si>
    <t>W815</t>
  </si>
  <si>
    <t>Peters Trevor</t>
  </si>
  <si>
    <t>CNC operator</t>
  </si>
  <si>
    <t>W794</t>
  </si>
  <si>
    <t>Ratau Khomotso</t>
  </si>
  <si>
    <t>W801</t>
  </si>
  <si>
    <t>Rafolatsane Nicolers</t>
  </si>
  <si>
    <t>W731</t>
  </si>
  <si>
    <t>Stewart Mark</t>
  </si>
  <si>
    <t>Financial director</t>
  </si>
  <si>
    <t>Swanepoel Quentin</t>
  </si>
  <si>
    <t>W761</t>
  </si>
  <si>
    <t>Slinging</t>
  </si>
  <si>
    <t>Sonyangwe Dumo</t>
  </si>
  <si>
    <t>W741</t>
  </si>
  <si>
    <t>welder COC</t>
  </si>
  <si>
    <t>Sibiya Vusi</t>
  </si>
  <si>
    <t>W811</t>
  </si>
  <si>
    <t>crane operator</t>
  </si>
  <si>
    <t>Sithole Daniel</t>
  </si>
  <si>
    <t>W715</t>
  </si>
  <si>
    <t>Tsotsetsi Happyness</t>
  </si>
  <si>
    <t>W734</t>
  </si>
  <si>
    <t>Vermeulen Evert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</si>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</sst>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3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CAPA Status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 Status</c:v>
          </c:tx>
          <c:invertIfNegative val="0"/>
          <c:cat>
            <c:strRef>
              <c:f>CAPA_Summary!$A$2:$A$10</c:f>
              <c:strCache>
                <c:ptCount val="3"/>
                <c:pt idx="0">
                  <c:v>Open</c:v>
                </c:pt>
                <c:pt idx="1">
                  <c:v>Closed</c:v>
                </c:pt>
                <c:pt idx="2">
                  <c:v>Overdue</c:v>
                </c:pt>
              </c:strCache>
            </c:strRef>
          </c:cat>
          <c:val>
            <c:numRef>
              <c:f>CAPA_Summary!$B$2:$B$10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DDB-A338-4F2E8B9D7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NCR Status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NCR Status</c:v>
          </c:tx>
          <c:invertIfNegative val="0"/>
          <c:cat>
            <c:strRef>
              <c:f>NCR_Summary!$A$2:$A$10</c:f>
              <c:strCache>
                <c:ptCount val="3"/>
                <c:pt idx="0">
                  <c:v>Open</c:v>
                </c:pt>
                <c:pt idx="1">
                  <c:v>Under Review</c:v>
                </c:pt>
                <c:pt idx="2">
                  <c:v>Closed</c:v>
                </c:pt>
              </c:strCache>
            </c:strRef>
          </c:cat>
          <c:val>
            <c:numRef>
              <c:f>NCR_Summary!$B$2:$B$10</c:f>
              <c:numCache>
                <c:formatCode>General</c:formatCode>
                <c:ptCount val="9"/>
                <c:pt idx="0">
                  <c:v>28</c:v>
                </c:pt>
                <c:pt idx="1">
                  <c:v>22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5-4B43-B78C-48B7C8D7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by Process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Risk Score by Process</c:v>
          </c:tx>
          <c:invertIfNegative val="0"/>
          <c:cat>
            <c:strRef>
              <c:f>Risk_by_Process!$A$2:$A$20</c:f>
              <c:strCache>
                <c:ptCount val="9"/>
                <c:pt idx="0">
                  <c:v>Design &amp; Engineering</c:v>
                </c:pt>
                <c:pt idx="1">
                  <c:v>Improvement</c:v>
                </c:pt>
                <c:pt idx="2">
                  <c:v>Logistics / Delivery</c:v>
                </c:pt>
                <c:pt idx="3">
                  <c:v>Management &amp; Leadership</c:v>
                </c:pt>
                <c:pt idx="4">
                  <c:v>Procurement</c:v>
                </c:pt>
                <c:pt idx="5">
                  <c:v>Production / Operations</c:v>
                </c:pt>
                <c:pt idx="6">
                  <c:v>Quality Control / Inspection</c:v>
                </c:pt>
                <c:pt idx="7">
                  <c:v>Sales &amp; Customer Engagement</c:v>
                </c:pt>
                <c:pt idx="8">
                  <c:v>Support Services</c:v>
                </c:pt>
              </c:strCache>
            </c:strRef>
          </c:cat>
          <c:val>
            <c:numRef>
              <c:f>Risk_by_Process!$B$2:$B$20</c:f>
              <c:numCache>
                <c:formatCode>General</c:formatCode>
                <c:ptCount val="19"/>
                <c:pt idx="0">
                  <c:v>74</c:v>
                </c:pt>
                <c:pt idx="1">
                  <c:v>50</c:v>
                </c:pt>
                <c:pt idx="2">
                  <c:v>28</c:v>
                </c:pt>
                <c:pt idx="3">
                  <c:v>118</c:v>
                </c:pt>
                <c:pt idx="4">
                  <c:v>102</c:v>
                </c:pt>
                <c:pt idx="5">
                  <c:v>93</c:v>
                </c:pt>
                <c:pt idx="6">
                  <c:v>85</c:v>
                </c:pt>
                <c:pt idx="7">
                  <c:v>94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C-4EE1-84D2-CFB23C0E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Training Valid vs Expired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Training Status</c:v>
          </c:tx>
          <c:cat>
            <c:strRef>
              <c:f>Training_Summary!$A$2:$A$10</c:f>
              <c:strCache>
                <c:ptCount val="2"/>
                <c:pt idx="0">
                  <c:v>Valid</c:v>
                </c:pt>
                <c:pt idx="1">
                  <c:v>Expired</c:v>
                </c:pt>
              </c:strCache>
            </c:strRef>
          </c:cat>
          <c:val>
            <c:numRef>
              <c:f>Training_Summary!$B$2:$B$10</c:f>
              <c:numCache>
                <c:formatCode>General</c:formatCode>
                <c:ptCount val="9"/>
                <c:pt idx="0">
                  <c:v>46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DBA-83E7-A99ECAD4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304800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342900</xdr:colOff>
      <xdr:row>5</xdr:row>
      <xdr:rowOff>19050</xdr:rowOff>
    </xdr:from>
    <xdr:to>
      <xdr:col>18</xdr:col>
      <xdr:colOff>38100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342900</xdr:colOff>
      <xdr:row>19</xdr:row>
      <xdr:rowOff>85725</xdr:rowOff>
    </xdr:from>
    <xdr:to>
      <xdr:col>18</xdr:col>
      <xdr:colOff>38100</xdr:colOff>
      <xdr:row>33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26" workbookViewId="0">
      <selection activeCell="T9" sqref="T9"/>
    </sheetView>
  </sheetViews>
  <sheetFormatPr defaultRowHeight="14.4" x14ac:dyDescent="0.3"/>
  <cols>
    <col min="1" max="1" width="17.6640625" customWidth="1"/>
    <col min="8" max="8" width="22.21875" customWidth="1"/>
  </cols>
  <sheetData>
    <row r="1" spans="1:8" x14ac:dyDescent="0.3">
      <c r="A1" t="s">
        <v>0</v>
      </c>
      <c r="B1" t="s">
        <v>1</v>
      </c>
      <c r="C1" t="s">
        <v>2</v>
      </c>
      <c r="D1" s="8" t="s">
        <v>3</v>
      </c>
      <c r="E1" s="8"/>
      <c r="F1" s="8"/>
      <c r="G1" s="8"/>
      <c r="H1" s="8"/>
    </row>
    <row r="2" spans="1:8" x14ac:dyDescent="0.3">
      <c r="D2" s="8"/>
      <c r="E2" s="8"/>
      <c r="F2" s="8"/>
      <c r="G2" s="8"/>
      <c r="H2" s="8"/>
    </row>
    <row r="5" spans="1:8" ht="18" x14ac:dyDescent="0.35">
      <c r="A5" s="1" t="s">
        <v>4</v>
      </c>
      <c r="B5" s="2">
        <f>COUNTIF(NCR_Log!H:H,"Open")</f>
        <v>0</v>
      </c>
    </row>
    <row r="7" spans="1:8" ht="18" x14ac:dyDescent="0.35">
      <c r="A7" s="1" t="s">
        <v>5</v>
      </c>
      <c r="B7" s="2">
        <f>COUNTIF(CAPA!J:J,"Open")</f>
        <v>1</v>
      </c>
    </row>
    <row r="9" spans="1:8" ht="18" x14ac:dyDescent="0.35">
      <c r="A9" s="1" t="s">
        <v>6</v>
      </c>
      <c r="B9" s="2">
        <f>COUNTIF(CAPA!J:J,"Overdue")</f>
        <v>0</v>
      </c>
    </row>
    <row r="11" spans="1:8" ht="18" x14ac:dyDescent="0.35">
      <c r="A11" s="1" t="s">
        <v>7</v>
      </c>
      <c r="B11" s="2">
        <f>COUNTIF(Risk_Register!F:F,"&gt;12")</f>
        <v>0</v>
      </c>
    </row>
    <row r="13" spans="1:8" ht="18" x14ac:dyDescent="0.35">
      <c r="A13" s="1" t="s">
        <v>8</v>
      </c>
      <c r="B13" s="2">
        <f>COUNTIF(Doc_Control!G:G,"Review Due")</f>
        <v>0</v>
      </c>
    </row>
    <row r="15" spans="1:8" ht="18" x14ac:dyDescent="0.35">
      <c r="A15" s="1" t="s">
        <v>9</v>
      </c>
      <c r="B15" s="2">
        <f>COUNTIF(Training!G:G,"Expired")</f>
        <v>0</v>
      </c>
    </row>
    <row r="40" spans="1:1" x14ac:dyDescent="0.3">
      <c r="A40" t="s">
        <v>10</v>
      </c>
    </row>
    <row r="41" spans="1:1" x14ac:dyDescent="0.3">
      <c r="A41" t="s">
        <v>11</v>
      </c>
    </row>
  </sheetData>
  <mergeCells count="1">
    <mergeCell ref="D1:H2"/>
  </mergeCells>
  <conditionalFormatting sqref="B5">
    <cfRule type="cellIs" dxfId="11" priority="1" operator="equal">
      <formula>0</formula>
    </cfRule>
    <cfRule type="cellIs" dxfId="10" priority="2" operator="greaterThan">
      <formula>0</formula>
    </cfRule>
  </conditionalFormatting>
  <conditionalFormatting sqref="B7">
    <cfRule type="cellIs" dxfId="9" priority="3" operator="equal">
      <formula>0</formula>
    </cfRule>
    <cfRule type="cellIs" dxfId="8" priority="4" operator="greaterThan">
      <formula>0</formula>
    </cfRule>
  </conditionalFormatting>
  <conditionalFormatting sqref="B9">
    <cfRule type="cellIs" dxfId="7" priority="5" operator="equal">
      <formula>0</formula>
    </cfRule>
    <cfRule type="cellIs" dxfId="6" priority="6" operator="greaterThan">
      <formula>0</formula>
    </cfRule>
  </conditionalFormatting>
  <conditionalFormatting sqref="B11">
    <cfRule type="cellIs" dxfId="5" priority="7" operator="equal">
      <formula>0</formula>
    </cfRule>
    <cfRule type="cellIs" dxfId="4" priority="8" operator="greaterThan">
      <formula>0</formula>
    </cfRule>
  </conditionalFormatting>
  <conditionalFormatting sqref="B13">
    <cfRule type="cellIs" dxfId="3" priority="9" operator="equal">
      <formula>0</formula>
    </cfRule>
    <cfRule type="cellIs" dxfId="2" priority="10" operator="greaterThan">
      <formula>0</formula>
    </cfRule>
  </conditionalFormatting>
  <conditionalFormatting sqref="B15">
    <cfRule type="cellIs" dxfId="1" priority="11" operator="equal">
      <formula>0</formula>
    </cfRule>
    <cfRule type="cellIs" dxfId="0" priority="1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topLeftCell="A63" workbookViewId="0">
      <selection activeCell="I11" sqref="I11"/>
    </sheetView>
  </sheetViews>
  <sheetFormatPr defaultRowHeight="14.4" x14ac:dyDescent="0.3"/>
  <cols>
    <col min="2" max="2" width="34.33203125" customWidth="1"/>
    <col min="3" max="3" width="50" customWidth="1"/>
    <col min="6" max="6" width="10.77734375" customWidth="1"/>
    <col min="7" max="7" width="26.21875" customWidth="1"/>
    <col min="8" max="8" width="25.6640625" customWidth="1"/>
    <col min="9" max="9" width="17.77734375" bestFit="1" customWidth="1"/>
    <col min="10" max="10" width="13.77734375" customWidth="1"/>
  </cols>
  <sheetData>
    <row r="1" spans="1:10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ht="28.8" x14ac:dyDescent="0.3">
      <c r="A2" t="s">
        <v>22</v>
      </c>
      <c r="B2" t="s">
        <v>231</v>
      </c>
      <c r="C2" t="s">
        <v>232</v>
      </c>
      <c r="D2">
        <v>1</v>
      </c>
      <c r="E2">
        <v>2</v>
      </c>
      <c r="F2">
        <v>2</v>
      </c>
      <c r="G2" t="s">
        <v>233</v>
      </c>
      <c r="H2" s="4" t="s">
        <v>234</v>
      </c>
      <c r="I2" s="3">
        <v>46368</v>
      </c>
      <c r="J2" t="s">
        <v>235</v>
      </c>
    </row>
    <row r="3" spans="1:10" x14ac:dyDescent="0.3">
      <c r="A3" t="s">
        <v>23</v>
      </c>
      <c r="B3" t="s">
        <v>231</v>
      </c>
      <c r="C3" t="s">
        <v>236</v>
      </c>
      <c r="D3">
        <v>1</v>
      </c>
      <c r="E3">
        <v>1</v>
      </c>
      <c r="F3">
        <v>1</v>
      </c>
      <c r="G3" t="s">
        <v>233</v>
      </c>
      <c r="H3" t="s">
        <v>237</v>
      </c>
      <c r="I3" s="3">
        <v>46368</v>
      </c>
      <c r="J3" t="s">
        <v>235</v>
      </c>
    </row>
    <row r="4" spans="1:10" x14ac:dyDescent="0.3">
      <c r="A4" t="s">
        <v>24</v>
      </c>
      <c r="B4" t="s">
        <v>231</v>
      </c>
      <c r="C4" t="s">
        <v>239</v>
      </c>
      <c r="D4">
        <v>1</v>
      </c>
      <c r="E4">
        <v>1</v>
      </c>
      <c r="F4">
        <v>1</v>
      </c>
      <c r="G4" t="s">
        <v>233</v>
      </c>
      <c r="H4" t="s">
        <v>237</v>
      </c>
      <c r="I4" s="3">
        <v>46368</v>
      </c>
      <c r="J4" t="s">
        <v>235</v>
      </c>
    </row>
    <row r="5" spans="1:10" x14ac:dyDescent="0.3">
      <c r="A5" t="s">
        <v>25</v>
      </c>
      <c r="B5" t="s">
        <v>231</v>
      </c>
      <c r="C5" t="s">
        <v>240</v>
      </c>
      <c r="D5">
        <v>1</v>
      </c>
      <c r="E5">
        <v>1</v>
      </c>
      <c r="F5">
        <v>1</v>
      </c>
      <c r="G5" t="s">
        <v>233</v>
      </c>
      <c r="H5" t="s">
        <v>237</v>
      </c>
      <c r="I5" s="3">
        <v>46368</v>
      </c>
      <c r="J5" t="s">
        <v>235</v>
      </c>
    </row>
    <row r="6" spans="1:10" x14ac:dyDescent="0.3">
      <c r="A6" t="s">
        <v>26</v>
      </c>
      <c r="B6" t="s">
        <v>231</v>
      </c>
      <c r="C6" t="s">
        <v>241</v>
      </c>
      <c r="D6">
        <v>1</v>
      </c>
      <c r="E6">
        <v>2</v>
      </c>
      <c r="F6">
        <v>2</v>
      </c>
      <c r="G6" t="s">
        <v>233</v>
      </c>
      <c r="H6" t="s">
        <v>242</v>
      </c>
      <c r="I6" s="3">
        <v>46368</v>
      </c>
      <c r="J6" t="s">
        <v>235</v>
      </c>
    </row>
    <row r="7" spans="1:10" x14ac:dyDescent="0.3">
      <c r="A7" t="s">
        <v>27</v>
      </c>
      <c r="B7" t="s">
        <v>231</v>
      </c>
      <c r="C7" t="s">
        <v>243</v>
      </c>
      <c r="D7">
        <v>1</v>
      </c>
      <c r="E7">
        <v>1</v>
      </c>
      <c r="F7">
        <v>1</v>
      </c>
      <c r="G7" t="s">
        <v>233</v>
      </c>
      <c r="H7" t="s">
        <v>237</v>
      </c>
      <c r="I7" s="3">
        <v>46368</v>
      </c>
      <c r="J7" t="s">
        <v>235</v>
      </c>
    </row>
    <row r="8" spans="1:10" x14ac:dyDescent="0.3">
      <c r="A8" t="s">
        <v>28</v>
      </c>
      <c r="B8" t="s">
        <v>231</v>
      </c>
      <c r="C8" t="s">
        <v>244</v>
      </c>
      <c r="D8">
        <v>1</v>
      </c>
      <c r="E8">
        <v>2</v>
      </c>
      <c r="F8">
        <v>2</v>
      </c>
      <c r="G8" t="s">
        <v>233</v>
      </c>
      <c r="H8" t="s">
        <v>245</v>
      </c>
      <c r="I8" s="3">
        <v>46368</v>
      </c>
      <c r="J8" t="s">
        <v>235</v>
      </c>
    </row>
    <row r="9" spans="1:10" x14ac:dyDescent="0.3">
      <c r="A9" t="s">
        <v>29</v>
      </c>
      <c r="B9" t="s">
        <v>231</v>
      </c>
      <c r="C9" t="s">
        <v>246</v>
      </c>
      <c r="D9">
        <v>1</v>
      </c>
      <c r="E9">
        <v>1</v>
      </c>
      <c r="F9">
        <v>1</v>
      </c>
      <c r="G9" t="s">
        <v>233</v>
      </c>
      <c r="H9" t="s">
        <v>237</v>
      </c>
      <c r="I9" s="3">
        <v>46368</v>
      </c>
      <c r="J9" t="s">
        <v>235</v>
      </c>
    </row>
    <row r="10" spans="1:10" x14ac:dyDescent="0.3">
      <c r="A10" t="s">
        <v>30</v>
      </c>
      <c r="B10" t="s">
        <v>238</v>
      </c>
      <c r="C10" t="s">
        <v>247</v>
      </c>
      <c r="D10">
        <v>1</v>
      </c>
      <c r="E10">
        <v>1</v>
      </c>
      <c r="F10">
        <v>1</v>
      </c>
      <c r="G10" t="s">
        <v>248</v>
      </c>
      <c r="H10" t="s">
        <v>237</v>
      </c>
      <c r="I10" s="3">
        <v>46368</v>
      </c>
      <c r="J10" t="s">
        <v>235</v>
      </c>
    </row>
    <row r="11" spans="1:10" x14ac:dyDescent="0.3">
      <c r="A11" t="s">
        <v>31</v>
      </c>
      <c r="B11" t="s">
        <v>238</v>
      </c>
      <c r="C11" t="s">
        <v>249</v>
      </c>
      <c r="D11">
        <v>1</v>
      </c>
      <c r="E11">
        <v>1</v>
      </c>
      <c r="F11">
        <v>1</v>
      </c>
      <c r="G11" t="s">
        <v>248</v>
      </c>
      <c r="H11" t="s">
        <v>237</v>
      </c>
      <c r="I11" s="3">
        <v>46368</v>
      </c>
      <c r="J11" t="s">
        <v>235</v>
      </c>
    </row>
    <row r="12" spans="1:10" x14ac:dyDescent="0.3">
      <c r="A12" t="s">
        <v>32</v>
      </c>
      <c r="B12" t="s">
        <v>238</v>
      </c>
      <c r="C12" t="s">
        <v>250</v>
      </c>
      <c r="D12">
        <v>1</v>
      </c>
      <c r="E12">
        <v>1</v>
      </c>
      <c r="F12">
        <v>1</v>
      </c>
      <c r="G12" t="s">
        <v>251</v>
      </c>
      <c r="H12" t="s">
        <v>237</v>
      </c>
      <c r="I12" s="3">
        <v>46368</v>
      </c>
      <c r="J12" t="s">
        <v>235</v>
      </c>
    </row>
    <row r="13" spans="1:10" x14ac:dyDescent="0.3">
      <c r="A13" t="s">
        <v>33</v>
      </c>
      <c r="B13" t="s">
        <v>238</v>
      </c>
      <c r="C13" t="s">
        <v>252</v>
      </c>
      <c r="D13">
        <v>1</v>
      </c>
      <c r="E13">
        <v>1</v>
      </c>
      <c r="F13">
        <v>1</v>
      </c>
      <c r="G13" t="s">
        <v>248</v>
      </c>
      <c r="H13" t="s">
        <v>237</v>
      </c>
      <c r="I13" s="3">
        <v>46368</v>
      </c>
      <c r="J13" t="s">
        <v>235</v>
      </c>
    </row>
    <row r="14" spans="1:10" x14ac:dyDescent="0.3">
      <c r="A14" t="s">
        <v>34</v>
      </c>
      <c r="B14" t="s">
        <v>238</v>
      </c>
      <c r="C14" t="s">
        <v>253</v>
      </c>
      <c r="D14">
        <v>1</v>
      </c>
      <c r="E14">
        <v>0</v>
      </c>
      <c r="F14">
        <v>0</v>
      </c>
      <c r="G14" t="s">
        <v>248</v>
      </c>
      <c r="H14" t="s">
        <v>237</v>
      </c>
      <c r="I14" s="3">
        <v>46368</v>
      </c>
      <c r="J14" t="s">
        <v>235</v>
      </c>
    </row>
    <row r="15" spans="1:10" x14ac:dyDescent="0.3">
      <c r="A15" t="s">
        <v>35</v>
      </c>
      <c r="B15" t="s">
        <v>254</v>
      </c>
      <c r="C15" t="s">
        <v>255</v>
      </c>
      <c r="D15">
        <v>1</v>
      </c>
      <c r="E15">
        <v>1</v>
      </c>
      <c r="F15">
        <v>1</v>
      </c>
      <c r="G15" t="s">
        <v>257</v>
      </c>
      <c r="H15" s="3" t="s">
        <v>237</v>
      </c>
      <c r="I15" s="3">
        <v>46368</v>
      </c>
      <c r="J15" t="s">
        <v>235</v>
      </c>
    </row>
    <row r="16" spans="1:10" x14ac:dyDescent="0.3">
      <c r="A16" t="s">
        <v>36</v>
      </c>
      <c r="B16" t="s">
        <v>254</v>
      </c>
      <c r="C16" t="s">
        <v>256</v>
      </c>
      <c r="D16">
        <v>1</v>
      </c>
      <c r="E16">
        <v>2</v>
      </c>
      <c r="F16">
        <v>2</v>
      </c>
      <c r="G16" t="s">
        <v>257</v>
      </c>
      <c r="H16" t="s">
        <v>258</v>
      </c>
      <c r="I16" s="3">
        <v>46368</v>
      </c>
      <c r="J16" t="s">
        <v>235</v>
      </c>
    </row>
    <row r="17" spans="1:10" x14ac:dyDescent="0.3">
      <c r="A17" t="s">
        <v>37</v>
      </c>
      <c r="B17" t="s">
        <v>254</v>
      </c>
      <c r="C17" t="s">
        <v>259</v>
      </c>
      <c r="D17">
        <v>1</v>
      </c>
      <c r="E17">
        <v>2</v>
      </c>
      <c r="F17">
        <v>2</v>
      </c>
      <c r="G17" t="s">
        <v>257</v>
      </c>
      <c r="H17" t="s">
        <v>258</v>
      </c>
      <c r="I17" s="3">
        <v>46368</v>
      </c>
      <c r="J17" t="s">
        <v>235</v>
      </c>
    </row>
    <row r="18" spans="1:10" x14ac:dyDescent="0.3">
      <c r="A18" t="s">
        <v>38</v>
      </c>
      <c r="B18" t="s">
        <v>254</v>
      </c>
      <c r="C18" t="s">
        <v>260</v>
      </c>
      <c r="D18">
        <v>1</v>
      </c>
      <c r="E18">
        <v>1</v>
      </c>
      <c r="F18">
        <v>1</v>
      </c>
      <c r="G18" t="s">
        <v>257</v>
      </c>
      <c r="H18" t="s">
        <v>237</v>
      </c>
      <c r="I18" s="3">
        <v>46368</v>
      </c>
      <c r="J18" t="s">
        <v>235</v>
      </c>
    </row>
    <row r="19" spans="1:10" x14ac:dyDescent="0.3">
      <c r="A19" t="s">
        <v>39</v>
      </c>
      <c r="B19" t="s">
        <v>254</v>
      </c>
      <c r="C19" t="s">
        <v>261</v>
      </c>
      <c r="D19">
        <v>1</v>
      </c>
      <c r="E19">
        <v>1</v>
      </c>
      <c r="F19">
        <v>1</v>
      </c>
      <c r="G19" t="s">
        <v>257</v>
      </c>
      <c r="H19" t="s">
        <v>237</v>
      </c>
      <c r="I19" s="3">
        <v>46368</v>
      </c>
      <c r="J19" t="s">
        <v>235</v>
      </c>
    </row>
    <row r="20" spans="1:10" x14ac:dyDescent="0.3">
      <c r="A20" t="s">
        <v>40</v>
      </c>
      <c r="B20" t="s">
        <v>254</v>
      </c>
      <c r="C20" t="s">
        <v>262</v>
      </c>
      <c r="D20">
        <v>1</v>
      </c>
      <c r="E20">
        <v>2</v>
      </c>
      <c r="F20">
        <v>2</v>
      </c>
      <c r="G20" t="s">
        <v>257</v>
      </c>
      <c r="H20" t="s">
        <v>263</v>
      </c>
      <c r="I20" s="3">
        <v>46368</v>
      </c>
      <c r="J20" t="s">
        <v>235</v>
      </c>
    </row>
    <row r="21" spans="1:10" x14ac:dyDescent="0.3">
      <c r="A21" t="s">
        <v>41</v>
      </c>
      <c r="B21" t="s">
        <v>254</v>
      </c>
      <c r="C21" t="s">
        <v>264</v>
      </c>
      <c r="D21">
        <v>1</v>
      </c>
      <c r="E21">
        <v>1</v>
      </c>
      <c r="F21">
        <v>1</v>
      </c>
      <c r="G21" t="s">
        <v>257</v>
      </c>
      <c r="H21" t="s">
        <v>237</v>
      </c>
      <c r="I21" s="3">
        <v>46368</v>
      </c>
      <c r="J21" t="s">
        <v>235</v>
      </c>
    </row>
    <row r="22" spans="1:10" x14ac:dyDescent="0.3">
      <c r="A22" t="s">
        <v>42</v>
      </c>
      <c r="B22" t="s">
        <v>254</v>
      </c>
      <c r="C22" t="s">
        <v>265</v>
      </c>
      <c r="D22">
        <v>1</v>
      </c>
      <c r="E22">
        <v>1</v>
      </c>
      <c r="F22">
        <v>1</v>
      </c>
      <c r="G22" t="s">
        <v>257</v>
      </c>
      <c r="H22" t="s">
        <v>237</v>
      </c>
      <c r="I22" s="3">
        <v>46368</v>
      </c>
      <c r="J22" t="s">
        <v>235</v>
      </c>
    </row>
    <row r="23" spans="1:10" x14ac:dyDescent="0.3">
      <c r="A23" t="s">
        <v>43</v>
      </c>
      <c r="B23" t="s">
        <v>266</v>
      </c>
      <c r="C23" t="s">
        <v>267</v>
      </c>
      <c r="D23">
        <v>1</v>
      </c>
      <c r="E23">
        <v>2</v>
      </c>
      <c r="F23">
        <v>2</v>
      </c>
      <c r="G23" t="s">
        <v>268</v>
      </c>
      <c r="H23" t="s">
        <v>237</v>
      </c>
      <c r="I23" s="3">
        <v>46368</v>
      </c>
      <c r="J23" t="s">
        <v>235</v>
      </c>
    </row>
    <row r="24" spans="1:10" x14ac:dyDescent="0.3">
      <c r="A24" t="s">
        <v>44</v>
      </c>
      <c r="B24" t="s">
        <v>266</v>
      </c>
      <c r="C24" t="s">
        <v>269</v>
      </c>
      <c r="D24">
        <v>1</v>
      </c>
      <c r="E24">
        <v>1</v>
      </c>
      <c r="F24">
        <v>1</v>
      </c>
      <c r="G24" t="s">
        <v>268</v>
      </c>
      <c r="H24" t="s">
        <v>237</v>
      </c>
      <c r="I24" s="3">
        <v>46368</v>
      </c>
      <c r="J24" t="s">
        <v>235</v>
      </c>
    </row>
    <row r="25" spans="1:10" x14ac:dyDescent="0.3">
      <c r="A25" t="s">
        <v>45</v>
      </c>
      <c r="B25" t="s">
        <v>266</v>
      </c>
      <c r="C25" t="s">
        <v>270</v>
      </c>
      <c r="D25">
        <v>1</v>
      </c>
      <c r="E25">
        <v>1</v>
      </c>
      <c r="F25">
        <v>1</v>
      </c>
      <c r="G25" t="s">
        <v>268</v>
      </c>
      <c r="H25" t="s">
        <v>271</v>
      </c>
      <c r="I25" s="3">
        <v>46368</v>
      </c>
      <c r="J25" t="s">
        <v>235</v>
      </c>
    </row>
    <row r="26" spans="1:10" x14ac:dyDescent="0.3">
      <c r="A26" t="s">
        <v>46</v>
      </c>
      <c r="B26" t="s">
        <v>266</v>
      </c>
      <c r="C26" t="s">
        <v>272</v>
      </c>
      <c r="D26">
        <v>1</v>
      </c>
      <c r="E26">
        <v>2</v>
      </c>
      <c r="F26">
        <v>2</v>
      </c>
      <c r="G26" t="s">
        <v>268</v>
      </c>
      <c r="H26" t="s">
        <v>273</v>
      </c>
      <c r="I26" s="3">
        <v>46368</v>
      </c>
      <c r="J26" t="s">
        <v>235</v>
      </c>
    </row>
    <row r="27" spans="1:10" x14ac:dyDescent="0.3">
      <c r="A27" t="s">
        <v>47</v>
      </c>
      <c r="B27" t="s">
        <v>266</v>
      </c>
      <c r="C27" t="s">
        <v>274</v>
      </c>
      <c r="D27">
        <v>1</v>
      </c>
      <c r="E27">
        <v>2</v>
      </c>
      <c r="F27">
        <v>2</v>
      </c>
      <c r="G27" t="s">
        <v>268</v>
      </c>
      <c r="H27" t="s">
        <v>275</v>
      </c>
      <c r="I27" s="3">
        <v>46368</v>
      </c>
      <c r="J27" t="s">
        <v>235</v>
      </c>
    </row>
    <row r="28" spans="1:10" x14ac:dyDescent="0.3">
      <c r="A28" t="s">
        <v>48</v>
      </c>
      <c r="B28" t="s">
        <v>276</v>
      </c>
      <c r="C28" t="s">
        <v>277</v>
      </c>
      <c r="D28">
        <v>1</v>
      </c>
      <c r="E28">
        <v>1</v>
      </c>
      <c r="F28">
        <v>1</v>
      </c>
      <c r="G28" t="s">
        <v>278</v>
      </c>
      <c r="H28" t="s">
        <v>237</v>
      </c>
      <c r="I28" s="3">
        <v>46368</v>
      </c>
      <c r="J28" t="s">
        <v>235</v>
      </c>
    </row>
    <row r="29" spans="1:10" x14ac:dyDescent="0.3">
      <c r="A29" t="s">
        <v>49</v>
      </c>
      <c r="B29" t="s">
        <v>276</v>
      </c>
      <c r="C29" t="s">
        <v>279</v>
      </c>
      <c r="D29">
        <v>2</v>
      </c>
      <c r="E29">
        <v>2</v>
      </c>
      <c r="F29">
        <v>4</v>
      </c>
      <c r="G29" t="s">
        <v>278</v>
      </c>
      <c r="H29" t="s">
        <v>237</v>
      </c>
      <c r="I29" s="3">
        <v>46368</v>
      </c>
      <c r="J29" t="s">
        <v>235</v>
      </c>
    </row>
    <row r="30" spans="1:10" x14ac:dyDescent="0.3">
      <c r="A30" t="s">
        <v>50</v>
      </c>
      <c r="B30" t="s">
        <v>276</v>
      </c>
      <c r="C30" t="s">
        <v>280</v>
      </c>
      <c r="D30">
        <v>2</v>
      </c>
      <c r="E30">
        <v>1</v>
      </c>
      <c r="F30">
        <v>1</v>
      </c>
      <c r="G30" t="s">
        <v>278</v>
      </c>
      <c r="H30" t="s">
        <v>237</v>
      </c>
      <c r="I30" s="3">
        <v>46368</v>
      </c>
      <c r="J30" t="s">
        <v>235</v>
      </c>
    </row>
    <row r="31" spans="1:10" x14ac:dyDescent="0.3">
      <c r="A31" t="s">
        <v>51</v>
      </c>
      <c r="B31" t="s">
        <v>276</v>
      </c>
      <c r="C31" t="s">
        <v>281</v>
      </c>
      <c r="D31">
        <v>1</v>
      </c>
      <c r="E31">
        <v>1</v>
      </c>
      <c r="F31">
        <v>1</v>
      </c>
      <c r="G31" t="s">
        <v>278</v>
      </c>
      <c r="H31" t="s">
        <v>237</v>
      </c>
      <c r="I31" s="3">
        <v>46368</v>
      </c>
      <c r="J31" t="s">
        <v>235</v>
      </c>
    </row>
    <row r="32" spans="1:10" x14ac:dyDescent="0.3">
      <c r="A32" t="s">
        <v>52</v>
      </c>
      <c r="B32" t="s">
        <v>276</v>
      </c>
      <c r="C32" t="s">
        <v>282</v>
      </c>
      <c r="D32">
        <v>0</v>
      </c>
      <c r="E32">
        <v>1</v>
      </c>
      <c r="F32">
        <v>0</v>
      </c>
      <c r="G32" t="s">
        <v>278</v>
      </c>
      <c r="H32" t="s">
        <v>237</v>
      </c>
      <c r="I32" s="3">
        <v>46368</v>
      </c>
      <c r="J32" t="s">
        <v>235</v>
      </c>
    </row>
    <row r="33" spans="1:10" x14ac:dyDescent="0.3">
      <c r="A33" t="s">
        <v>53</v>
      </c>
      <c r="B33" t="s">
        <v>276</v>
      </c>
      <c r="C33" t="s">
        <v>283</v>
      </c>
      <c r="D33">
        <v>1</v>
      </c>
      <c r="E33">
        <v>1</v>
      </c>
      <c r="F33">
        <v>1</v>
      </c>
      <c r="G33" t="s">
        <v>278</v>
      </c>
      <c r="H33" t="s">
        <v>237</v>
      </c>
      <c r="I33" s="3">
        <v>46368</v>
      </c>
      <c r="J33" t="s">
        <v>235</v>
      </c>
    </row>
    <row r="34" spans="1:10" x14ac:dyDescent="0.3">
      <c r="A34" t="s">
        <v>54</v>
      </c>
      <c r="B34" t="s">
        <v>276</v>
      </c>
      <c r="C34" t="s">
        <v>284</v>
      </c>
      <c r="D34">
        <v>1</v>
      </c>
      <c r="E34">
        <v>1</v>
      </c>
      <c r="F34">
        <v>1</v>
      </c>
      <c r="G34" t="s">
        <v>278</v>
      </c>
      <c r="H34" t="s">
        <v>237</v>
      </c>
      <c r="I34" s="3">
        <v>46368</v>
      </c>
      <c r="J34" t="s">
        <v>235</v>
      </c>
    </row>
    <row r="35" spans="1:10" x14ac:dyDescent="0.3">
      <c r="A35" t="s">
        <v>55</v>
      </c>
      <c r="B35" t="s">
        <v>276</v>
      </c>
      <c r="C35" t="s">
        <v>285</v>
      </c>
      <c r="D35">
        <v>0</v>
      </c>
      <c r="E35">
        <v>0</v>
      </c>
      <c r="F35">
        <v>0</v>
      </c>
      <c r="G35" t="s">
        <v>278</v>
      </c>
      <c r="H35" t="s">
        <v>237</v>
      </c>
      <c r="I35" s="3">
        <v>46368</v>
      </c>
      <c r="J35" t="s">
        <v>235</v>
      </c>
    </row>
    <row r="36" spans="1:10" x14ac:dyDescent="0.3">
      <c r="A36" t="s">
        <v>56</v>
      </c>
      <c r="B36" t="s">
        <v>276</v>
      </c>
      <c r="C36" t="s">
        <v>286</v>
      </c>
      <c r="D36">
        <v>1</v>
      </c>
      <c r="E36">
        <v>1</v>
      </c>
      <c r="F36">
        <v>1</v>
      </c>
      <c r="G36" t="s">
        <v>278</v>
      </c>
      <c r="H36" t="s">
        <v>237</v>
      </c>
      <c r="I36" s="3">
        <v>46368</v>
      </c>
      <c r="J36" t="s">
        <v>235</v>
      </c>
    </row>
    <row r="37" spans="1:10" x14ac:dyDescent="0.3">
      <c r="A37" t="s">
        <v>287</v>
      </c>
      <c r="B37" t="s">
        <v>292</v>
      </c>
      <c r="C37" t="s">
        <v>294</v>
      </c>
      <c r="D37">
        <v>1</v>
      </c>
      <c r="E37">
        <v>2</v>
      </c>
      <c r="F37">
        <v>2</v>
      </c>
      <c r="G37" t="s">
        <v>295</v>
      </c>
      <c r="H37" t="s">
        <v>296</v>
      </c>
      <c r="I37" s="3">
        <v>46368</v>
      </c>
      <c r="J37" t="s">
        <v>235</v>
      </c>
    </row>
    <row r="38" spans="1:10" x14ac:dyDescent="0.3">
      <c r="A38" t="s">
        <v>288</v>
      </c>
      <c r="B38" t="s">
        <v>292</v>
      </c>
      <c r="C38" t="s">
        <v>297</v>
      </c>
      <c r="D38">
        <v>1</v>
      </c>
      <c r="E38">
        <v>1</v>
      </c>
      <c r="F38">
        <v>1</v>
      </c>
      <c r="G38" t="s">
        <v>295</v>
      </c>
      <c r="H38" t="s">
        <v>237</v>
      </c>
      <c r="I38" s="3">
        <v>46368</v>
      </c>
      <c r="J38" t="s">
        <v>235</v>
      </c>
    </row>
    <row r="39" spans="1:10" x14ac:dyDescent="0.3">
      <c r="A39" t="s">
        <v>289</v>
      </c>
      <c r="B39" t="s">
        <v>292</v>
      </c>
      <c r="C39" t="s">
        <v>298</v>
      </c>
      <c r="D39">
        <v>1</v>
      </c>
      <c r="E39">
        <v>1</v>
      </c>
      <c r="F39">
        <v>1</v>
      </c>
      <c r="G39" t="s">
        <v>295</v>
      </c>
      <c r="H39" t="s">
        <v>237</v>
      </c>
      <c r="I39" s="3">
        <v>46368</v>
      </c>
      <c r="J39" t="s">
        <v>235</v>
      </c>
    </row>
    <row r="40" spans="1:10" x14ac:dyDescent="0.3">
      <c r="A40" t="s">
        <v>290</v>
      </c>
      <c r="B40" t="s">
        <v>292</v>
      </c>
      <c r="C40" t="s">
        <v>299</v>
      </c>
      <c r="D40">
        <v>1</v>
      </c>
      <c r="E40">
        <v>2</v>
      </c>
      <c r="F40">
        <v>2</v>
      </c>
      <c r="G40" t="s">
        <v>295</v>
      </c>
      <c r="H40" t="s">
        <v>300</v>
      </c>
      <c r="I40" s="3">
        <v>46368</v>
      </c>
      <c r="J40" t="s">
        <v>235</v>
      </c>
    </row>
    <row r="41" spans="1:10" x14ac:dyDescent="0.3">
      <c r="A41" t="s">
        <v>291</v>
      </c>
      <c r="B41" t="s">
        <v>292</v>
      </c>
      <c r="C41" t="s">
        <v>301</v>
      </c>
      <c r="D41">
        <v>1</v>
      </c>
      <c r="E41">
        <v>1</v>
      </c>
      <c r="F41">
        <v>1</v>
      </c>
      <c r="G41" t="s">
        <v>295</v>
      </c>
      <c r="H41" t="s">
        <v>237</v>
      </c>
      <c r="I41" s="3">
        <v>46368</v>
      </c>
      <c r="J41" t="s">
        <v>235</v>
      </c>
    </row>
    <row r="42" spans="1:10" x14ac:dyDescent="0.3">
      <c r="A42" t="s">
        <v>293</v>
      </c>
      <c r="B42" t="s">
        <v>292</v>
      </c>
      <c r="C42" t="s">
        <v>302</v>
      </c>
      <c r="D42">
        <v>2</v>
      </c>
      <c r="E42">
        <v>2</v>
      </c>
      <c r="F42">
        <v>4</v>
      </c>
      <c r="G42" t="s">
        <v>295</v>
      </c>
      <c r="H42" t="s">
        <v>303</v>
      </c>
      <c r="I42" s="3">
        <v>46368</v>
      </c>
      <c r="J42" t="s">
        <v>235</v>
      </c>
    </row>
    <row r="43" spans="1:10" x14ac:dyDescent="0.3">
      <c r="A43" t="s">
        <v>304</v>
      </c>
      <c r="B43" t="s">
        <v>313</v>
      </c>
      <c r="C43" t="s">
        <v>314</v>
      </c>
      <c r="D43">
        <v>1</v>
      </c>
      <c r="E43">
        <v>1</v>
      </c>
      <c r="F43">
        <v>1</v>
      </c>
      <c r="G43" t="s">
        <v>315</v>
      </c>
      <c r="H43" t="s">
        <v>237</v>
      </c>
      <c r="I43" s="3">
        <v>46368</v>
      </c>
      <c r="J43" t="s">
        <v>235</v>
      </c>
    </row>
    <row r="44" spans="1:10" x14ac:dyDescent="0.3">
      <c r="A44" t="s">
        <v>305</v>
      </c>
      <c r="B44" t="s">
        <v>313</v>
      </c>
      <c r="C44" t="s">
        <v>316</v>
      </c>
      <c r="D44">
        <v>1</v>
      </c>
      <c r="E44">
        <v>2</v>
      </c>
      <c r="F44">
        <v>2</v>
      </c>
      <c r="G44" t="s">
        <v>315</v>
      </c>
      <c r="H44" t="s">
        <v>237</v>
      </c>
      <c r="I44" s="3">
        <v>46368</v>
      </c>
      <c r="J44" t="s">
        <v>235</v>
      </c>
    </row>
    <row r="45" spans="1:10" x14ac:dyDescent="0.3">
      <c r="A45" t="s">
        <v>306</v>
      </c>
      <c r="B45" t="s">
        <v>313</v>
      </c>
      <c r="C45" t="s">
        <v>317</v>
      </c>
      <c r="D45">
        <v>1</v>
      </c>
      <c r="E45">
        <v>1</v>
      </c>
      <c r="F45">
        <v>1</v>
      </c>
      <c r="G45" t="s">
        <v>315</v>
      </c>
      <c r="H45" t="s">
        <v>237</v>
      </c>
      <c r="I45" s="3">
        <v>46368</v>
      </c>
      <c r="J45" t="s">
        <v>235</v>
      </c>
    </row>
    <row r="46" spans="1:10" x14ac:dyDescent="0.3">
      <c r="A46" t="s">
        <v>307</v>
      </c>
      <c r="B46" t="s">
        <v>313</v>
      </c>
      <c r="C46" t="s">
        <v>318</v>
      </c>
      <c r="D46">
        <v>1</v>
      </c>
      <c r="E46">
        <v>2</v>
      </c>
      <c r="F46">
        <v>2</v>
      </c>
      <c r="G46" t="s">
        <v>315</v>
      </c>
      <c r="H46" t="s">
        <v>237</v>
      </c>
      <c r="I46" s="3">
        <v>46368</v>
      </c>
      <c r="J46" t="s">
        <v>235</v>
      </c>
    </row>
    <row r="47" spans="1:10" x14ac:dyDescent="0.3">
      <c r="A47" t="s">
        <v>308</v>
      </c>
      <c r="B47" t="s">
        <v>313</v>
      </c>
      <c r="C47" t="s">
        <v>319</v>
      </c>
      <c r="D47">
        <v>1</v>
      </c>
      <c r="E47">
        <v>1</v>
      </c>
      <c r="F47">
        <v>1</v>
      </c>
      <c r="G47" t="s">
        <v>315</v>
      </c>
      <c r="H47" t="s">
        <v>237</v>
      </c>
      <c r="I47" s="3">
        <v>46368</v>
      </c>
      <c r="J47" t="s">
        <v>235</v>
      </c>
    </row>
    <row r="48" spans="1:10" x14ac:dyDescent="0.3">
      <c r="A48" t="s">
        <v>309</v>
      </c>
      <c r="B48" t="s">
        <v>313</v>
      </c>
      <c r="C48" t="s">
        <v>320</v>
      </c>
      <c r="D48">
        <v>1</v>
      </c>
      <c r="E48">
        <v>1</v>
      </c>
      <c r="F48">
        <v>1</v>
      </c>
      <c r="G48" t="s">
        <v>315</v>
      </c>
      <c r="H48" t="s">
        <v>237</v>
      </c>
      <c r="I48" s="3">
        <v>46368</v>
      </c>
      <c r="J48" t="s">
        <v>235</v>
      </c>
    </row>
    <row r="49" spans="1:10" x14ac:dyDescent="0.3">
      <c r="A49" t="s">
        <v>310</v>
      </c>
      <c r="B49" t="s">
        <v>313</v>
      </c>
      <c r="C49" t="s">
        <v>321</v>
      </c>
      <c r="D49">
        <v>1</v>
      </c>
      <c r="E49">
        <v>1</v>
      </c>
      <c r="F49">
        <v>1</v>
      </c>
      <c r="G49" t="s">
        <v>315</v>
      </c>
      <c r="H49" t="s">
        <v>237</v>
      </c>
      <c r="I49" s="3">
        <v>46368</v>
      </c>
      <c r="J49" t="s">
        <v>235</v>
      </c>
    </row>
    <row r="50" spans="1:10" x14ac:dyDescent="0.3">
      <c r="A50" t="s">
        <v>311</v>
      </c>
      <c r="B50" t="s">
        <v>313</v>
      </c>
      <c r="C50" t="s">
        <v>322</v>
      </c>
      <c r="D50">
        <v>1</v>
      </c>
      <c r="E50">
        <v>1</v>
      </c>
      <c r="F50">
        <v>1</v>
      </c>
      <c r="G50" t="s">
        <v>315</v>
      </c>
      <c r="H50" t="s">
        <v>237</v>
      </c>
      <c r="I50" s="3">
        <v>46368</v>
      </c>
      <c r="J50" t="s">
        <v>235</v>
      </c>
    </row>
    <row r="51" spans="1:10" x14ac:dyDescent="0.3">
      <c r="A51" t="s">
        <v>312</v>
      </c>
      <c r="B51" t="s">
        <v>333</v>
      </c>
      <c r="C51" t="s">
        <v>267</v>
      </c>
      <c r="D51">
        <v>1</v>
      </c>
      <c r="E51">
        <v>1</v>
      </c>
      <c r="F51">
        <v>1</v>
      </c>
      <c r="G51" t="s">
        <v>268</v>
      </c>
      <c r="H51" t="s">
        <v>237</v>
      </c>
      <c r="I51" s="3">
        <v>46368</v>
      </c>
      <c r="J51" t="s">
        <v>235</v>
      </c>
    </row>
    <row r="52" spans="1:10" x14ac:dyDescent="0.3">
      <c r="A52" t="s">
        <v>323</v>
      </c>
      <c r="B52" t="s">
        <v>333</v>
      </c>
      <c r="C52" t="s">
        <v>334</v>
      </c>
      <c r="D52">
        <v>1</v>
      </c>
      <c r="E52">
        <v>2</v>
      </c>
      <c r="F52">
        <v>2</v>
      </c>
      <c r="G52" t="s">
        <v>268</v>
      </c>
      <c r="H52" t="s">
        <v>273</v>
      </c>
      <c r="I52" s="3">
        <v>46368</v>
      </c>
      <c r="J52" t="s">
        <v>235</v>
      </c>
    </row>
    <row r="53" spans="1:10" x14ac:dyDescent="0.3">
      <c r="A53" t="s">
        <v>324</v>
      </c>
      <c r="B53" t="s">
        <v>333</v>
      </c>
      <c r="C53" t="s">
        <v>319</v>
      </c>
      <c r="D53">
        <v>1</v>
      </c>
      <c r="E53">
        <v>1</v>
      </c>
      <c r="F53">
        <v>1</v>
      </c>
      <c r="G53" t="s">
        <v>268</v>
      </c>
      <c r="H53" t="s">
        <v>237</v>
      </c>
      <c r="I53" s="3">
        <v>46368</v>
      </c>
      <c r="J53" t="s">
        <v>235</v>
      </c>
    </row>
    <row r="54" spans="1:10" x14ac:dyDescent="0.3">
      <c r="A54" t="s">
        <v>325</v>
      </c>
      <c r="B54" t="s">
        <v>333</v>
      </c>
      <c r="C54" t="s">
        <v>335</v>
      </c>
      <c r="D54">
        <v>1</v>
      </c>
      <c r="E54">
        <v>2</v>
      </c>
      <c r="F54">
        <v>2</v>
      </c>
      <c r="G54" t="s">
        <v>268</v>
      </c>
      <c r="H54" t="s">
        <v>336</v>
      </c>
      <c r="I54" s="3">
        <v>46368</v>
      </c>
      <c r="J54" t="s">
        <v>235</v>
      </c>
    </row>
    <row r="55" spans="1:10" x14ac:dyDescent="0.3">
      <c r="A55" t="s">
        <v>326</v>
      </c>
      <c r="B55" t="s">
        <v>333</v>
      </c>
      <c r="C55" t="s">
        <v>337</v>
      </c>
      <c r="D55">
        <v>1</v>
      </c>
      <c r="E55">
        <v>2</v>
      </c>
      <c r="F55">
        <v>2</v>
      </c>
      <c r="G55" t="s">
        <v>268</v>
      </c>
      <c r="H55" t="s">
        <v>273</v>
      </c>
      <c r="I55" s="3">
        <v>46368</v>
      </c>
      <c r="J55" t="s">
        <v>235</v>
      </c>
    </row>
    <row r="56" spans="1:10" x14ac:dyDescent="0.3">
      <c r="A56" t="s">
        <v>327</v>
      </c>
      <c r="B56" t="s">
        <v>333</v>
      </c>
      <c r="C56" t="s">
        <v>319</v>
      </c>
      <c r="D56">
        <v>1</v>
      </c>
      <c r="E56">
        <v>1</v>
      </c>
      <c r="F56">
        <v>1</v>
      </c>
      <c r="G56" t="s">
        <v>268</v>
      </c>
      <c r="H56" t="s">
        <v>237</v>
      </c>
      <c r="I56" s="3">
        <v>46368</v>
      </c>
      <c r="J56" t="s">
        <v>235</v>
      </c>
    </row>
    <row r="57" spans="1:10" x14ac:dyDescent="0.3">
      <c r="A57" t="s">
        <v>328</v>
      </c>
      <c r="B57" t="s">
        <v>343</v>
      </c>
      <c r="C57" t="s">
        <v>344</v>
      </c>
      <c r="D57">
        <v>1</v>
      </c>
      <c r="E57">
        <v>1</v>
      </c>
      <c r="F57">
        <v>1</v>
      </c>
      <c r="G57" t="s">
        <v>248</v>
      </c>
      <c r="H57" t="s">
        <v>237</v>
      </c>
      <c r="I57" s="3">
        <v>46368</v>
      </c>
      <c r="J57" t="s">
        <v>235</v>
      </c>
    </row>
    <row r="58" spans="1:10" x14ac:dyDescent="0.3">
      <c r="A58" t="s">
        <v>329</v>
      </c>
      <c r="B58" t="s">
        <v>343</v>
      </c>
      <c r="C58" t="s">
        <v>345</v>
      </c>
      <c r="D58">
        <v>1</v>
      </c>
      <c r="E58">
        <v>1</v>
      </c>
      <c r="F58">
        <v>1</v>
      </c>
      <c r="G58" t="s">
        <v>248</v>
      </c>
      <c r="H58" t="s">
        <v>237</v>
      </c>
      <c r="I58" s="3">
        <v>46368</v>
      </c>
      <c r="J58" t="s">
        <v>235</v>
      </c>
    </row>
    <row r="59" spans="1:10" x14ac:dyDescent="0.3">
      <c r="A59" t="s">
        <v>330</v>
      </c>
      <c r="B59" t="s">
        <v>343</v>
      </c>
      <c r="C59" t="s">
        <v>346</v>
      </c>
      <c r="D59">
        <v>1</v>
      </c>
      <c r="E59">
        <v>2</v>
      </c>
      <c r="F59">
        <v>2</v>
      </c>
      <c r="G59" t="s">
        <v>248</v>
      </c>
      <c r="H59" t="s">
        <v>347</v>
      </c>
      <c r="I59" s="3">
        <v>46368</v>
      </c>
      <c r="J59" t="s">
        <v>235</v>
      </c>
    </row>
    <row r="60" spans="1:10" x14ac:dyDescent="0.3">
      <c r="A60" t="s">
        <v>331</v>
      </c>
      <c r="B60" t="s">
        <v>343</v>
      </c>
      <c r="C60" t="s">
        <v>348</v>
      </c>
      <c r="D60">
        <v>2</v>
      </c>
      <c r="E60">
        <v>2</v>
      </c>
      <c r="F60">
        <v>4</v>
      </c>
      <c r="G60" t="s">
        <v>248</v>
      </c>
      <c r="H60" t="s">
        <v>237</v>
      </c>
      <c r="I60" s="3">
        <v>46368</v>
      </c>
      <c r="J60" t="s">
        <v>235</v>
      </c>
    </row>
    <row r="61" spans="1:10" x14ac:dyDescent="0.3">
      <c r="A61" t="s">
        <v>332</v>
      </c>
      <c r="B61" t="s">
        <v>343</v>
      </c>
      <c r="C61" t="s">
        <v>349</v>
      </c>
      <c r="D61">
        <v>1</v>
      </c>
      <c r="E61">
        <v>1</v>
      </c>
      <c r="F61">
        <v>1</v>
      </c>
      <c r="G61" t="s">
        <v>248</v>
      </c>
      <c r="H61" t="s">
        <v>237</v>
      </c>
      <c r="I61" s="3">
        <v>46368</v>
      </c>
      <c r="J61" t="s">
        <v>235</v>
      </c>
    </row>
    <row r="62" spans="1:10" x14ac:dyDescent="0.3">
      <c r="A62" t="s">
        <v>338</v>
      </c>
      <c r="B62" t="s">
        <v>343</v>
      </c>
      <c r="C62" t="s">
        <v>350</v>
      </c>
      <c r="D62">
        <v>1</v>
      </c>
      <c r="E62">
        <v>1</v>
      </c>
      <c r="F62">
        <v>1</v>
      </c>
      <c r="G62" t="s">
        <v>248</v>
      </c>
      <c r="H62" t="s">
        <v>351</v>
      </c>
      <c r="I62" s="3">
        <v>46368</v>
      </c>
      <c r="J62" t="s">
        <v>235</v>
      </c>
    </row>
    <row r="63" spans="1:10" x14ac:dyDescent="0.3">
      <c r="A63" t="s">
        <v>339</v>
      </c>
      <c r="B63" t="s">
        <v>343</v>
      </c>
      <c r="C63" t="s">
        <v>319</v>
      </c>
      <c r="D63">
        <v>1</v>
      </c>
      <c r="E63">
        <v>1</v>
      </c>
      <c r="F63">
        <v>1</v>
      </c>
      <c r="G63" t="s">
        <v>248</v>
      </c>
      <c r="H63" t="s">
        <v>237</v>
      </c>
      <c r="I63" s="3">
        <v>46368</v>
      </c>
      <c r="J63" t="s">
        <v>235</v>
      </c>
    </row>
    <row r="64" spans="1:10" x14ac:dyDescent="0.3">
      <c r="A64" t="s">
        <v>340</v>
      </c>
      <c r="B64" t="s">
        <v>357</v>
      </c>
      <c r="C64" t="s">
        <v>358</v>
      </c>
      <c r="D64">
        <v>1</v>
      </c>
      <c r="E64">
        <v>2</v>
      </c>
      <c r="F64">
        <v>2</v>
      </c>
      <c r="G64" t="s">
        <v>359</v>
      </c>
      <c r="H64" t="s">
        <v>237</v>
      </c>
      <c r="I64" s="3">
        <v>46368</v>
      </c>
      <c r="J64" t="s">
        <v>235</v>
      </c>
    </row>
    <row r="65" spans="1:10" x14ac:dyDescent="0.3">
      <c r="A65" t="s">
        <v>341</v>
      </c>
      <c r="B65" t="s">
        <v>357</v>
      </c>
      <c r="C65" t="s">
        <v>360</v>
      </c>
      <c r="D65">
        <v>2</v>
      </c>
      <c r="E65">
        <v>2</v>
      </c>
      <c r="F65">
        <v>4</v>
      </c>
      <c r="G65" t="s">
        <v>359</v>
      </c>
      <c r="H65" t="s">
        <v>361</v>
      </c>
      <c r="I65" s="3">
        <v>46368</v>
      </c>
      <c r="J65" t="s">
        <v>235</v>
      </c>
    </row>
    <row r="66" spans="1:10" x14ac:dyDescent="0.3">
      <c r="A66" t="s">
        <v>342</v>
      </c>
      <c r="B66" t="s">
        <v>357</v>
      </c>
      <c r="C66" t="s">
        <v>362</v>
      </c>
      <c r="D66">
        <v>1</v>
      </c>
      <c r="E66">
        <v>1</v>
      </c>
      <c r="F66">
        <v>1</v>
      </c>
      <c r="G66" t="s">
        <v>359</v>
      </c>
      <c r="H66" t="s">
        <v>237</v>
      </c>
      <c r="I66" s="3">
        <v>46368</v>
      </c>
      <c r="J66" t="s">
        <v>235</v>
      </c>
    </row>
    <row r="67" spans="1:10" x14ac:dyDescent="0.3">
      <c r="A67" t="s">
        <v>352</v>
      </c>
      <c r="B67" t="s">
        <v>357</v>
      </c>
      <c r="C67" t="s">
        <v>363</v>
      </c>
      <c r="D67">
        <v>1</v>
      </c>
      <c r="E67">
        <v>1</v>
      </c>
      <c r="F67">
        <v>1</v>
      </c>
      <c r="G67" t="s">
        <v>359</v>
      </c>
      <c r="H67" t="s">
        <v>237</v>
      </c>
      <c r="I67" s="3">
        <v>46368</v>
      </c>
      <c r="J67" t="s">
        <v>235</v>
      </c>
    </row>
    <row r="68" spans="1:10" x14ac:dyDescent="0.3">
      <c r="A68" t="s">
        <v>353</v>
      </c>
      <c r="B68" t="s">
        <v>357</v>
      </c>
      <c r="C68" t="s">
        <v>364</v>
      </c>
      <c r="D68">
        <v>1</v>
      </c>
      <c r="E68">
        <v>1</v>
      </c>
      <c r="F68">
        <v>1</v>
      </c>
      <c r="G68" t="s">
        <v>359</v>
      </c>
      <c r="H68" t="s">
        <v>237</v>
      </c>
      <c r="I68" s="3">
        <v>46368</v>
      </c>
      <c r="J68" t="s">
        <v>235</v>
      </c>
    </row>
    <row r="69" spans="1:10" x14ac:dyDescent="0.3">
      <c r="A69" t="s">
        <v>354</v>
      </c>
      <c r="B69" t="s">
        <v>357</v>
      </c>
      <c r="C69" t="s">
        <v>365</v>
      </c>
      <c r="D69">
        <v>1</v>
      </c>
      <c r="E69">
        <v>1</v>
      </c>
      <c r="F69">
        <v>1</v>
      </c>
      <c r="G69" t="s">
        <v>359</v>
      </c>
      <c r="H69" t="s">
        <v>366</v>
      </c>
      <c r="I69" s="3">
        <v>46368</v>
      </c>
      <c r="J69" t="s">
        <v>235</v>
      </c>
    </row>
    <row r="70" spans="1:10" x14ac:dyDescent="0.3">
      <c r="A70" t="s">
        <v>355</v>
      </c>
      <c r="B70" t="s">
        <v>357</v>
      </c>
      <c r="C70" t="s">
        <v>367</v>
      </c>
      <c r="D70">
        <v>1</v>
      </c>
      <c r="E70">
        <v>2</v>
      </c>
      <c r="F70">
        <v>2</v>
      </c>
      <c r="G70" t="s">
        <v>359</v>
      </c>
      <c r="H70" t="s">
        <v>368</v>
      </c>
      <c r="I70" s="3">
        <v>46368</v>
      </c>
      <c r="J70" t="s">
        <v>235</v>
      </c>
    </row>
    <row r="71" spans="1:10" x14ac:dyDescent="0.3">
      <c r="A71" t="s">
        <v>356</v>
      </c>
      <c r="B71" t="s">
        <v>357</v>
      </c>
      <c r="C71" t="s">
        <v>369</v>
      </c>
      <c r="D71">
        <v>2</v>
      </c>
      <c r="E71">
        <v>2</v>
      </c>
      <c r="F71">
        <v>4</v>
      </c>
      <c r="G71" t="s">
        <v>359</v>
      </c>
      <c r="H71" t="s">
        <v>370</v>
      </c>
      <c r="I71" s="3">
        <v>46368</v>
      </c>
      <c r="J71" t="s">
        <v>235</v>
      </c>
    </row>
    <row r="72" spans="1:10" x14ac:dyDescent="0.3">
      <c r="A72" t="s">
        <v>371</v>
      </c>
      <c r="B72" t="s">
        <v>377</v>
      </c>
      <c r="C72" t="s">
        <v>344</v>
      </c>
      <c r="D72">
        <v>1</v>
      </c>
      <c r="E72">
        <v>1</v>
      </c>
      <c r="F72">
        <v>1</v>
      </c>
      <c r="G72" t="s">
        <v>378</v>
      </c>
      <c r="H72" t="s">
        <v>237</v>
      </c>
      <c r="I72" s="3">
        <v>46368</v>
      </c>
      <c r="J72" t="s">
        <v>235</v>
      </c>
    </row>
    <row r="73" spans="1:10" x14ac:dyDescent="0.3">
      <c r="A73" t="s">
        <v>372</v>
      </c>
      <c r="B73" t="s">
        <v>377</v>
      </c>
      <c r="C73" t="s">
        <v>379</v>
      </c>
      <c r="D73">
        <v>1</v>
      </c>
      <c r="E73">
        <v>1</v>
      </c>
      <c r="F73">
        <v>1</v>
      </c>
      <c r="G73" t="s">
        <v>378</v>
      </c>
      <c r="H73" t="s">
        <v>237</v>
      </c>
      <c r="I73" s="3">
        <v>46368</v>
      </c>
      <c r="J73" t="s">
        <v>235</v>
      </c>
    </row>
    <row r="74" spans="1:10" x14ac:dyDescent="0.3">
      <c r="A74" t="s">
        <v>373</v>
      </c>
      <c r="B74" t="s">
        <v>377</v>
      </c>
      <c r="C74" t="s">
        <v>380</v>
      </c>
      <c r="D74">
        <v>1</v>
      </c>
      <c r="E74">
        <v>2</v>
      </c>
      <c r="F74">
        <v>2</v>
      </c>
      <c r="G74" t="s">
        <v>378</v>
      </c>
      <c r="H74" t="s">
        <v>347</v>
      </c>
      <c r="I74" s="3">
        <v>46368</v>
      </c>
      <c r="J74" t="s">
        <v>235</v>
      </c>
    </row>
    <row r="75" spans="1:10" x14ac:dyDescent="0.3">
      <c r="A75" t="s">
        <v>374</v>
      </c>
      <c r="B75" t="s">
        <v>377</v>
      </c>
      <c r="C75" t="s">
        <v>348</v>
      </c>
      <c r="D75">
        <v>2</v>
      </c>
      <c r="E75">
        <v>2</v>
      </c>
      <c r="F75">
        <v>4</v>
      </c>
      <c r="G75" t="s">
        <v>378</v>
      </c>
      <c r="H75" t="s">
        <v>237</v>
      </c>
      <c r="I75" s="3">
        <v>46368</v>
      </c>
      <c r="J75" t="s">
        <v>235</v>
      </c>
    </row>
    <row r="76" spans="1:10" x14ac:dyDescent="0.3">
      <c r="A76" t="s">
        <v>375</v>
      </c>
      <c r="B76" t="s">
        <v>377</v>
      </c>
      <c r="C76" t="s">
        <v>349</v>
      </c>
      <c r="D76">
        <v>1</v>
      </c>
      <c r="E76">
        <v>1</v>
      </c>
      <c r="F76">
        <v>1</v>
      </c>
      <c r="G76" t="s">
        <v>378</v>
      </c>
      <c r="H76" t="s">
        <v>237</v>
      </c>
      <c r="I76" s="3">
        <v>46368</v>
      </c>
      <c r="J76" t="s">
        <v>235</v>
      </c>
    </row>
    <row r="77" spans="1:10" x14ac:dyDescent="0.3">
      <c r="A77" t="s">
        <v>376</v>
      </c>
      <c r="I77" s="3"/>
    </row>
    <row r="78" spans="1:10" x14ac:dyDescent="0.3">
      <c r="I78" s="3"/>
    </row>
    <row r="79" spans="1:10" x14ac:dyDescent="0.3">
      <c r="I79" s="3"/>
    </row>
    <row r="80" spans="1:10" x14ac:dyDescent="0.3">
      <c r="I80" s="3"/>
    </row>
    <row r="81" spans="9:9" x14ac:dyDescent="0.3">
      <c r="I81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A14" sqref="A14"/>
    </sheetView>
  </sheetViews>
  <sheetFormatPr defaultRowHeight="14.4" x14ac:dyDescent="0.3"/>
  <cols>
    <col min="2" max="2" width="15.5546875" customWidth="1"/>
    <col min="3" max="3" width="32.5546875" customWidth="1"/>
    <col min="4" max="4" width="50.88671875" customWidth="1"/>
    <col min="5" max="5" width="29.77734375" customWidth="1"/>
    <col min="7" max="7" width="28.6640625" customWidth="1"/>
    <col min="8" max="8" width="24.77734375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14</v>
      </c>
      <c r="E1" t="s">
        <v>75</v>
      </c>
      <c r="F1" t="s">
        <v>76</v>
      </c>
      <c r="G1" t="s">
        <v>18</v>
      </c>
      <c r="H1" t="s">
        <v>21</v>
      </c>
    </row>
    <row r="2" spans="1:8" x14ac:dyDescent="0.3">
      <c r="A2" t="s">
        <v>77</v>
      </c>
      <c r="B2" s="3">
        <v>45984.767464467594</v>
      </c>
      <c r="C2" t="s">
        <v>97</v>
      </c>
      <c r="D2" t="s">
        <v>98</v>
      </c>
      <c r="E2" t="s">
        <v>99</v>
      </c>
      <c r="F2" t="s">
        <v>100</v>
      </c>
      <c r="G2" t="s">
        <v>68</v>
      </c>
      <c r="H2" t="s">
        <v>121</v>
      </c>
    </row>
    <row r="3" spans="1:8" x14ac:dyDescent="0.3">
      <c r="A3" t="s">
        <v>78</v>
      </c>
      <c r="B3" s="3">
        <v>45681</v>
      </c>
      <c r="C3" t="s">
        <v>392</v>
      </c>
      <c r="D3" s="4" t="s">
        <v>393</v>
      </c>
      <c r="E3" t="s">
        <v>394</v>
      </c>
      <c r="F3" t="s">
        <v>101</v>
      </c>
      <c r="G3" t="s">
        <v>395</v>
      </c>
      <c r="H3" t="s">
        <v>70</v>
      </c>
    </row>
    <row r="4" spans="1:8" x14ac:dyDescent="0.3">
      <c r="A4" t="s">
        <v>79</v>
      </c>
      <c r="B4" s="3">
        <v>45680</v>
      </c>
      <c r="C4" t="s">
        <v>399</v>
      </c>
      <c r="D4" s="4" t="s">
        <v>403</v>
      </c>
      <c r="E4" t="s">
        <v>404</v>
      </c>
      <c r="F4" t="s">
        <v>102</v>
      </c>
      <c r="G4" t="s">
        <v>405</v>
      </c>
      <c r="H4" t="s">
        <v>70</v>
      </c>
    </row>
    <row r="5" spans="1:8" x14ac:dyDescent="0.3">
      <c r="A5" t="s">
        <v>80</v>
      </c>
      <c r="B5" s="3">
        <v>45756</v>
      </c>
      <c r="C5" t="s">
        <v>411</v>
      </c>
      <c r="D5" s="4" t="s">
        <v>412</v>
      </c>
      <c r="E5" t="s">
        <v>404</v>
      </c>
      <c r="F5" t="s">
        <v>103</v>
      </c>
      <c r="G5" t="s">
        <v>405</v>
      </c>
      <c r="H5" t="s">
        <v>70</v>
      </c>
    </row>
    <row r="6" spans="1:8" x14ac:dyDescent="0.3">
      <c r="A6" t="s">
        <v>81</v>
      </c>
      <c r="B6" s="3">
        <v>45758</v>
      </c>
      <c r="C6" t="s">
        <v>399</v>
      </c>
      <c r="D6" s="4" t="s">
        <v>415</v>
      </c>
      <c r="E6" t="s">
        <v>404</v>
      </c>
      <c r="F6" t="s">
        <v>130</v>
      </c>
      <c r="G6" t="s">
        <v>405</v>
      </c>
      <c r="H6" t="s">
        <v>70</v>
      </c>
    </row>
    <row r="7" spans="1:8" x14ac:dyDescent="0.3">
      <c r="A7" t="s">
        <v>82</v>
      </c>
      <c r="B7" s="3">
        <v>45826</v>
      </c>
      <c r="C7" t="s">
        <v>399</v>
      </c>
      <c r="D7" s="4" t="s">
        <v>416</v>
      </c>
      <c r="E7" t="s">
        <v>404</v>
      </c>
      <c r="F7" t="s">
        <v>104</v>
      </c>
      <c r="G7" t="s">
        <v>405</v>
      </c>
      <c r="H7" t="s">
        <v>70</v>
      </c>
    </row>
    <row r="8" spans="1:8" x14ac:dyDescent="0.3">
      <c r="A8" t="s">
        <v>83</v>
      </c>
      <c r="B8" s="3">
        <v>45826</v>
      </c>
      <c r="C8" t="s">
        <v>417</v>
      </c>
      <c r="D8" s="4" t="s">
        <v>418</v>
      </c>
      <c r="E8" t="s">
        <v>419</v>
      </c>
      <c r="F8" t="s">
        <v>105</v>
      </c>
      <c r="G8" t="s">
        <v>405</v>
      </c>
      <c r="H8" t="s">
        <v>70</v>
      </c>
    </row>
    <row r="9" spans="1:8" x14ac:dyDescent="0.3">
      <c r="A9" t="s">
        <v>84</v>
      </c>
      <c r="B9" s="3">
        <v>45827</v>
      </c>
      <c r="C9" t="s">
        <v>421</v>
      </c>
      <c r="D9" s="4" t="s">
        <v>418</v>
      </c>
      <c r="E9" t="s">
        <v>422</v>
      </c>
      <c r="F9" t="s">
        <v>106</v>
      </c>
      <c r="G9" t="s">
        <v>405</v>
      </c>
      <c r="H9" t="s">
        <v>70</v>
      </c>
    </row>
    <row r="10" spans="1:8" x14ac:dyDescent="0.3">
      <c r="A10" t="s">
        <v>85</v>
      </c>
      <c r="B10" s="3">
        <v>45873</v>
      </c>
      <c r="C10" t="s">
        <v>399</v>
      </c>
      <c r="D10" s="4" t="s">
        <v>424</v>
      </c>
      <c r="E10" t="s">
        <v>425</v>
      </c>
      <c r="F10" t="s">
        <v>107</v>
      </c>
      <c r="G10" t="s">
        <v>405</v>
      </c>
      <c r="H10" t="s">
        <v>70</v>
      </c>
    </row>
    <row r="11" spans="1:8" x14ac:dyDescent="0.3">
      <c r="A11" t="s">
        <v>86</v>
      </c>
      <c r="B11" s="3">
        <v>45923</v>
      </c>
      <c r="C11" t="s">
        <v>399</v>
      </c>
      <c r="D11" s="4" t="s">
        <v>427</v>
      </c>
      <c r="E11" t="s">
        <v>419</v>
      </c>
      <c r="F11" t="s">
        <v>108</v>
      </c>
      <c r="G11" t="s">
        <v>405</v>
      </c>
      <c r="H11" t="s">
        <v>70</v>
      </c>
    </row>
    <row r="12" spans="1:8" x14ac:dyDescent="0.3">
      <c r="A12" t="s">
        <v>87</v>
      </c>
      <c r="B12" s="3">
        <v>45982</v>
      </c>
      <c r="C12" t="s">
        <v>428</v>
      </c>
      <c r="D12" s="4" t="s">
        <v>429</v>
      </c>
      <c r="E12" t="s">
        <v>419</v>
      </c>
      <c r="F12" t="s">
        <v>109</v>
      </c>
      <c r="G12" t="s">
        <v>405</v>
      </c>
      <c r="H12" t="s">
        <v>70</v>
      </c>
    </row>
    <row r="13" spans="1:8" x14ac:dyDescent="0.3">
      <c r="A13" t="s">
        <v>88</v>
      </c>
      <c r="B13" s="3">
        <v>46104</v>
      </c>
      <c r="C13" t="s">
        <v>411</v>
      </c>
      <c r="D13" s="4" t="s">
        <v>430</v>
      </c>
      <c r="E13" t="s">
        <v>419</v>
      </c>
      <c r="F13" t="s">
        <v>131</v>
      </c>
      <c r="G13" t="s">
        <v>405</v>
      </c>
      <c r="H13" t="s">
        <v>70</v>
      </c>
    </row>
    <row r="14" spans="1:8" x14ac:dyDescent="0.3">
      <c r="A14" t="s">
        <v>89</v>
      </c>
      <c r="B14" s="3"/>
      <c r="D14" s="4"/>
      <c r="F14" t="s">
        <v>132</v>
      </c>
    </row>
    <row r="15" spans="1:8" x14ac:dyDescent="0.3">
      <c r="A15" t="s">
        <v>90</v>
      </c>
      <c r="B15" s="3"/>
      <c r="D15" s="4"/>
      <c r="F15" t="s">
        <v>110</v>
      </c>
    </row>
    <row r="16" spans="1:8" x14ac:dyDescent="0.3">
      <c r="A16" t="s">
        <v>91</v>
      </c>
      <c r="B16" s="3"/>
      <c r="D16" s="4"/>
      <c r="F16" t="s">
        <v>111</v>
      </c>
    </row>
    <row r="17" spans="1:6" x14ac:dyDescent="0.3">
      <c r="A17" t="s">
        <v>92</v>
      </c>
      <c r="B17" s="3"/>
      <c r="D17" s="4"/>
      <c r="F17" t="s">
        <v>112</v>
      </c>
    </row>
    <row r="18" spans="1:6" x14ac:dyDescent="0.3">
      <c r="A18" t="s">
        <v>93</v>
      </c>
      <c r="B18" s="3"/>
      <c r="D18" s="4"/>
      <c r="F18" t="s">
        <v>113</v>
      </c>
    </row>
    <row r="19" spans="1:6" x14ac:dyDescent="0.3">
      <c r="A19" t="s">
        <v>94</v>
      </c>
      <c r="B19" s="3"/>
      <c r="D19" s="4"/>
      <c r="F19" t="s">
        <v>114</v>
      </c>
    </row>
    <row r="20" spans="1:6" x14ac:dyDescent="0.3">
      <c r="A20" t="s">
        <v>95</v>
      </c>
      <c r="B20" s="3"/>
      <c r="D20" s="4"/>
      <c r="F20" t="s">
        <v>133</v>
      </c>
    </row>
    <row r="21" spans="1:6" x14ac:dyDescent="0.3">
      <c r="A21" t="s">
        <v>96</v>
      </c>
      <c r="B21" s="3"/>
      <c r="D21" s="4"/>
      <c r="F21" t="s">
        <v>115</v>
      </c>
    </row>
    <row r="22" spans="1:6" x14ac:dyDescent="0.3">
      <c r="A22" t="s">
        <v>381</v>
      </c>
      <c r="B22" s="3"/>
      <c r="D22" s="4"/>
      <c r="F22" t="s">
        <v>134</v>
      </c>
    </row>
    <row r="23" spans="1:6" x14ac:dyDescent="0.3">
      <c r="A23" t="s">
        <v>382</v>
      </c>
      <c r="B23" s="3"/>
      <c r="D23" s="4"/>
      <c r="F23" t="s">
        <v>135</v>
      </c>
    </row>
    <row r="24" spans="1:6" x14ac:dyDescent="0.3">
      <c r="A24" t="s">
        <v>383</v>
      </c>
      <c r="B24" s="3"/>
      <c r="D24" s="4"/>
      <c r="F24" t="s">
        <v>116</v>
      </c>
    </row>
    <row r="25" spans="1:6" x14ac:dyDescent="0.3">
      <c r="A25" t="s">
        <v>384</v>
      </c>
      <c r="B25" s="3"/>
      <c r="D25" s="4"/>
      <c r="F25" t="s">
        <v>136</v>
      </c>
    </row>
    <row r="26" spans="1:6" x14ac:dyDescent="0.3">
      <c r="A26" t="s">
        <v>385</v>
      </c>
      <c r="B26" s="3"/>
      <c r="D26" s="4"/>
      <c r="F26" t="s">
        <v>117</v>
      </c>
    </row>
    <row r="27" spans="1:6" x14ac:dyDescent="0.3">
      <c r="A27" t="s">
        <v>386</v>
      </c>
      <c r="B27" s="3"/>
      <c r="D27" s="4"/>
      <c r="F27" t="s">
        <v>118</v>
      </c>
    </row>
    <row r="28" spans="1:6" x14ac:dyDescent="0.3">
      <c r="A28" t="s">
        <v>387</v>
      </c>
      <c r="B28" s="3"/>
      <c r="D28" s="4"/>
      <c r="F28" t="s">
        <v>119</v>
      </c>
    </row>
    <row r="29" spans="1:6" x14ac:dyDescent="0.3">
      <c r="A29" t="s">
        <v>388</v>
      </c>
      <c r="B29" s="3"/>
      <c r="D29" s="4"/>
      <c r="F29" t="s">
        <v>137</v>
      </c>
    </row>
    <row r="30" spans="1:6" x14ac:dyDescent="0.3">
      <c r="A30" t="s">
        <v>389</v>
      </c>
      <c r="B30" s="3"/>
      <c r="D30" s="4"/>
      <c r="F30" t="s">
        <v>138</v>
      </c>
    </row>
    <row r="31" spans="1:6" x14ac:dyDescent="0.3">
      <c r="A31" t="s">
        <v>390</v>
      </c>
      <c r="B31" s="3"/>
      <c r="D31" s="4"/>
      <c r="F31" t="s">
        <v>120</v>
      </c>
    </row>
    <row r="32" spans="1:6" x14ac:dyDescent="0.3">
      <c r="A32" t="s">
        <v>391</v>
      </c>
      <c r="B32" s="3"/>
      <c r="D32" s="4"/>
      <c r="F32" t="s">
        <v>139</v>
      </c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ABD1-35FD-4F2A-AA0A-48298AF5B24D}">
  <dimension ref="A1:H50"/>
  <sheetViews>
    <sheetView workbookViewId="0">
      <selection activeCell="H13" sqref="H13"/>
    </sheetView>
  </sheetViews>
  <sheetFormatPr defaultRowHeight="14.4" x14ac:dyDescent="0.3"/>
  <cols>
    <col min="1" max="1" width="18.6640625" customWidth="1"/>
    <col min="2" max="2" width="20.77734375" customWidth="1"/>
    <col min="3" max="3" width="11.88671875" customWidth="1"/>
    <col min="4" max="4" width="23.33203125" customWidth="1"/>
    <col min="5" max="5" width="13.77734375" customWidth="1"/>
    <col min="6" max="6" width="13.21875" customWidth="1"/>
    <col min="7" max="7" width="16.109375" customWidth="1"/>
    <col min="8" max="8" width="16" customWidth="1"/>
  </cols>
  <sheetData>
    <row r="1" spans="1:8" x14ac:dyDescent="0.3">
      <c r="A1" t="s">
        <v>224</v>
      </c>
      <c r="B1" t="s">
        <v>227</v>
      </c>
      <c r="C1" t="s">
        <v>73</v>
      </c>
      <c r="D1" t="s">
        <v>228</v>
      </c>
      <c r="E1" t="s">
        <v>191</v>
      </c>
      <c r="F1" t="s">
        <v>225</v>
      </c>
      <c r="G1" t="s">
        <v>21</v>
      </c>
      <c r="H1" t="s">
        <v>226</v>
      </c>
    </row>
    <row r="2" spans="1:8" x14ac:dyDescent="0.3">
      <c r="A2">
        <v>1</v>
      </c>
      <c r="B2" t="s">
        <v>229</v>
      </c>
      <c r="C2" s="3">
        <v>46029</v>
      </c>
      <c r="D2" t="s">
        <v>431</v>
      </c>
      <c r="E2" t="s">
        <v>230</v>
      </c>
      <c r="F2" t="s">
        <v>432</v>
      </c>
      <c r="G2" t="s">
        <v>177</v>
      </c>
      <c r="H2" t="s">
        <v>561</v>
      </c>
    </row>
    <row r="3" spans="1:8" x14ac:dyDescent="0.3">
      <c r="A3">
        <v>2</v>
      </c>
      <c r="B3" t="s">
        <v>313</v>
      </c>
      <c r="C3" s="3">
        <v>46043</v>
      </c>
      <c r="D3" t="s">
        <v>566</v>
      </c>
      <c r="E3" t="s">
        <v>230</v>
      </c>
      <c r="F3" t="s">
        <v>567</v>
      </c>
      <c r="G3" t="s">
        <v>177</v>
      </c>
      <c r="H3" t="s">
        <v>561</v>
      </c>
    </row>
    <row r="4" spans="1:8" x14ac:dyDescent="0.3">
      <c r="A4">
        <v>3</v>
      </c>
      <c r="B4" t="s">
        <v>568</v>
      </c>
      <c r="C4" s="3">
        <v>46057</v>
      </c>
      <c r="D4" t="s">
        <v>569</v>
      </c>
      <c r="E4" t="s">
        <v>230</v>
      </c>
      <c r="F4" t="s">
        <v>432</v>
      </c>
      <c r="G4" t="s">
        <v>177</v>
      </c>
      <c r="H4" t="s">
        <v>561</v>
      </c>
    </row>
    <row r="5" spans="1:8" x14ac:dyDescent="0.3">
      <c r="A5">
        <v>4</v>
      </c>
      <c r="B5" t="s">
        <v>558</v>
      </c>
      <c r="C5" s="3">
        <v>46080</v>
      </c>
      <c r="D5" t="s">
        <v>570</v>
      </c>
      <c r="E5" t="s">
        <v>230</v>
      </c>
      <c r="F5" t="s">
        <v>432</v>
      </c>
      <c r="G5" t="s">
        <v>177</v>
      </c>
      <c r="H5" t="s">
        <v>561</v>
      </c>
    </row>
    <row r="6" spans="1:8" x14ac:dyDescent="0.3">
      <c r="A6">
        <v>5</v>
      </c>
      <c r="B6" t="s">
        <v>571</v>
      </c>
      <c r="C6" s="3">
        <v>46093</v>
      </c>
      <c r="D6" t="s">
        <v>572</v>
      </c>
      <c r="E6" t="s">
        <v>230</v>
      </c>
      <c r="F6" t="s">
        <v>432</v>
      </c>
      <c r="G6" t="s">
        <v>177</v>
      </c>
      <c r="H6" t="s">
        <v>561</v>
      </c>
    </row>
    <row r="7" spans="1:8" x14ac:dyDescent="0.3">
      <c r="A7">
        <v>6</v>
      </c>
      <c r="B7" t="s">
        <v>573</v>
      </c>
      <c r="C7" s="3">
        <v>46119</v>
      </c>
      <c r="D7" t="s">
        <v>574</v>
      </c>
      <c r="E7" t="s">
        <v>230</v>
      </c>
      <c r="F7" t="s">
        <v>432</v>
      </c>
      <c r="G7" t="s">
        <v>177</v>
      </c>
      <c r="H7" t="s">
        <v>561</v>
      </c>
    </row>
    <row r="8" spans="1:8" x14ac:dyDescent="0.3">
      <c r="A8">
        <v>7</v>
      </c>
      <c r="B8" t="s">
        <v>560</v>
      </c>
      <c r="C8" s="3">
        <v>46142</v>
      </c>
      <c r="D8" t="s">
        <v>575</v>
      </c>
      <c r="E8" t="s">
        <v>230</v>
      </c>
      <c r="F8" t="s">
        <v>432</v>
      </c>
      <c r="G8" t="s">
        <v>177</v>
      </c>
      <c r="H8" t="s">
        <v>561</v>
      </c>
    </row>
    <row r="9" spans="1:8" x14ac:dyDescent="0.3">
      <c r="A9">
        <v>8</v>
      </c>
      <c r="B9" t="s">
        <v>547</v>
      </c>
      <c r="C9" s="3">
        <v>46148</v>
      </c>
      <c r="D9" t="s">
        <v>576</v>
      </c>
      <c r="E9" t="s">
        <v>230</v>
      </c>
      <c r="F9" t="s">
        <v>432</v>
      </c>
      <c r="G9" t="s">
        <v>177</v>
      </c>
      <c r="H9" t="s">
        <v>561</v>
      </c>
    </row>
    <row r="10" spans="1:8" x14ac:dyDescent="0.3">
      <c r="A10">
        <v>9</v>
      </c>
      <c r="B10" t="s">
        <v>577</v>
      </c>
      <c r="C10" s="3">
        <v>46160</v>
      </c>
      <c r="D10" t="s">
        <v>578</v>
      </c>
      <c r="E10" t="s">
        <v>230</v>
      </c>
      <c r="F10" t="s">
        <v>432</v>
      </c>
      <c r="G10" t="s">
        <v>177</v>
      </c>
      <c r="H10" t="s">
        <v>561</v>
      </c>
    </row>
    <row r="11" spans="1:8" x14ac:dyDescent="0.3">
      <c r="A11">
        <v>10</v>
      </c>
    </row>
    <row r="12" spans="1:8" x14ac:dyDescent="0.3">
      <c r="A12">
        <v>11</v>
      </c>
    </row>
    <row r="13" spans="1:8" x14ac:dyDescent="0.3">
      <c r="A13">
        <v>12</v>
      </c>
    </row>
    <row r="14" spans="1:8" x14ac:dyDescent="0.3">
      <c r="A14">
        <v>13</v>
      </c>
    </row>
    <row r="15" spans="1:8" x14ac:dyDescent="0.3">
      <c r="A15">
        <v>14</v>
      </c>
    </row>
    <row r="16" spans="1:8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selection activeCell="A14" sqref="A14"/>
    </sheetView>
  </sheetViews>
  <sheetFormatPr defaultRowHeight="14.4" x14ac:dyDescent="0.3"/>
  <cols>
    <col min="2" max="2" width="13.77734375" customWidth="1"/>
    <col min="3" max="3" width="18.5546875" customWidth="1"/>
    <col min="4" max="4" width="42.77734375" customWidth="1"/>
    <col min="5" max="5" width="50.21875" customWidth="1"/>
    <col min="6" max="6" width="24.77734375" customWidth="1"/>
    <col min="7" max="7" width="10.44140625" bestFit="1" customWidth="1"/>
    <col min="8" max="8" width="27.77734375" customWidth="1"/>
    <col min="9" max="9" width="29.88671875" customWidth="1"/>
  </cols>
  <sheetData>
    <row r="1" spans="1:11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18</v>
      </c>
      <c r="G1" t="s">
        <v>127</v>
      </c>
      <c r="H1" t="s">
        <v>128</v>
      </c>
      <c r="I1" t="s">
        <v>129</v>
      </c>
      <c r="J1" t="s">
        <v>21</v>
      </c>
      <c r="K1" t="s">
        <v>410</v>
      </c>
    </row>
    <row r="2" spans="1:11" x14ac:dyDescent="0.3">
      <c r="A2" t="s">
        <v>100</v>
      </c>
      <c r="B2" t="s">
        <v>77</v>
      </c>
      <c r="C2" s="3">
        <v>46057.767464467594</v>
      </c>
      <c r="D2" t="s">
        <v>140</v>
      </c>
      <c r="E2" t="s">
        <v>141</v>
      </c>
      <c r="F2" t="s">
        <v>68</v>
      </c>
      <c r="G2" s="3">
        <v>46122.767464467594</v>
      </c>
      <c r="H2" s="3">
        <v>46145.767464467594</v>
      </c>
      <c r="I2" t="s">
        <v>142</v>
      </c>
      <c r="J2" t="s">
        <v>71</v>
      </c>
    </row>
    <row r="3" spans="1:11" x14ac:dyDescent="0.3">
      <c r="A3" t="s">
        <v>101</v>
      </c>
      <c r="B3" t="s">
        <v>78</v>
      </c>
      <c r="C3" s="3">
        <v>45681</v>
      </c>
      <c r="D3" t="s">
        <v>396</v>
      </c>
      <c r="E3" t="s">
        <v>397</v>
      </c>
      <c r="F3" t="s">
        <v>395</v>
      </c>
      <c r="G3" s="3">
        <v>45681</v>
      </c>
      <c r="H3" s="3">
        <v>45681</v>
      </c>
      <c r="I3" t="s">
        <v>398</v>
      </c>
      <c r="J3" t="s">
        <v>70</v>
      </c>
    </row>
    <row r="4" spans="1:11" x14ac:dyDescent="0.3">
      <c r="A4" t="s">
        <v>102</v>
      </c>
      <c r="B4" t="s">
        <v>79</v>
      </c>
      <c r="C4" s="3">
        <v>45680</v>
      </c>
      <c r="D4" t="s">
        <v>406</v>
      </c>
      <c r="E4" t="s">
        <v>408</v>
      </c>
      <c r="F4" t="s">
        <v>407</v>
      </c>
      <c r="G4" s="3">
        <v>45682</v>
      </c>
      <c r="H4" s="3">
        <v>45687</v>
      </c>
      <c r="I4" t="s">
        <v>398</v>
      </c>
      <c r="J4" t="s">
        <v>409</v>
      </c>
      <c r="K4">
        <v>1037</v>
      </c>
    </row>
    <row r="5" spans="1:11" x14ac:dyDescent="0.3">
      <c r="A5" t="s">
        <v>103</v>
      </c>
      <c r="B5" t="s">
        <v>80</v>
      </c>
      <c r="C5" s="3">
        <v>45756</v>
      </c>
      <c r="D5" t="s">
        <v>413</v>
      </c>
      <c r="E5" t="s">
        <v>414</v>
      </c>
      <c r="F5" t="s">
        <v>407</v>
      </c>
      <c r="G5" s="3">
        <v>45765</v>
      </c>
      <c r="H5" s="3">
        <v>45765</v>
      </c>
      <c r="I5" t="s">
        <v>398</v>
      </c>
      <c r="J5" t="s">
        <v>409</v>
      </c>
      <c r="K5">
        <v>1038</v>
      </c>
    </row>
    <row r="6" spans="1:11" x14ac:dyDescent="0.3">
      <c r="A6" t="s">
        <v>130</v>
      </c>
      <c r="B6" t="s">
        <v>81</v>
      </c>
      <c r="C6" s="3">
        <v>45758</v>
      </c>
      <c r="D6" t="s">
        <v>413</v>
      </c>
      <c r="E6" t="s">
        <v>414</v>
      </c>
      <c r="F6" t="s">
        <v>407</v>
      </c>
      <c r="G6" s="3">
        <v>45762</v>
      </c>
      <c r="H6" s="3">
        <v>45762</v>
      </c>
      <c r="I6" t="s">
        <v>398</v>
      </c>
      <c r="J6" t="s">
        <v>70</v>
      </c>
      <c r="K6">
        <v>1039</v>
      </c>
    </row>
    <row r="7" spans="1:11" x14ac:dyDescent="0.3">
      <c r="A7" t="s">
        <v>104</v>
      </c>
      <c r="B7" t="s">
        <v>82</v>
      </c>
      <c r="C7" s="3">
        <v>45826</v>
      </c>
      <c r="D7" t="s">
        <v>416</v>
      </c>
      <c r="E7" t="s">
        <v>414</v>
      </c>
      <c r="F7" t="s">
        <v>407</v>
      </c>
      <c r="G7" s="3">
        <v>45831</v>
      </c>
      <c r="H7" s="3">
        <v>45831</v>
      </c>
      <c r="I7" t="s">
        <v>398</v>
      </c>
      <c r="J7" t="s">
        <v>70</v>
      </c>
      <c r="K7">
        <v>1040</v>
      </c>
    </row>
    <row r="8" spans="1:11" x14ac:dyDescent="0.3">
      <c r="A8" t="s">
        <v>105</v>
      </c>
      <c r="B8" t="s">
        <v>83</v>
      </c>
      <c r="C8" s="3">
        <v>45826</v>
      </c>
      <c r="D8" t="s">
        <v>420</v>
      </c>
      <c r="E8" t="s">
        <v>419</v>
      </c>
      <c r="F8" t="s">
        <v>407</v>
      </c>
      <c r="G8" s="3">
        <v>45827</v>
      </c>
      <c r="H8" s="3">
        <v>45827</v>
      </c>
      <c r="I8" t="s">
        <v>398</v>
      </c>
      <c r="J8" t="s">
        <v>70</v>
      </c>
      <c r="K8">
        <v>1041</v>
      </c>
    </row>
    <row r="9" spans="1:11" x14ac:dyDescent="0.3">
      <c r="A9" t="s">
        <v>106</v>
      </c>
      <c r="B9" t="s">
        <v>84</v>
      </c>
      <c r="C9" s="3">
        <v>45827</v>
      </c>
      <c r="D9" t="s">
        <v>420</v>
      </c>
      <c r="E9" t="s">
        <v>423</v>
      </c>
      <c r="F9" t="s">
        <v>407</v>
      </c>
      <c r="G9" s="3">
        <v>45833</v>
      </c>
      <c r="H9" s="3">
        <v>45833</v>
      </c>
      <c r="I9" t="s">
        <v>398</v>
      </c>
      <c r="J9" t="s">
        <v>70</v>
      </c>
      <c r="K9">
        <v>1042</v>
      </c>
    </row>
    <row r="10" spans="1:11" x14ac:dyDescent="0.3">
      <c r="A10" t="s">
        <v>107</v>
      </c>
      <c r="B10" t="s">
        <v>85</v>
      </c>
      <c r="C10" s="3">
        <v>45873</v>
      </c>
      <c r="D10" t="s">
        <v>424</v>
      </c>
      <c r="E10" t="s">
        <v>426</v>
      </c>
      <c r="F10" t="s">
        <v>407</v>
      </c>
      <c r="G10" s="3">
        <v>45879</v>
      </c>
      <c r="H10" s="3">
        <v>45879</v>
      </c>
      <c r="I10" t="s">
        <v>398</v>
      </c>
      <c r="J10" t="s">
        <v>70</v>
      </c>
      <c r="K10">
        <v>1043</v>
      </c>
    </row>
    <row r="11" spans="1:11" x14ac:dyDescent="0.3">
      <c r="A11" t="s">
        <v>108</v>
      </c>
      <c r="B11" t="s">
        <v>86</v>
      </c>
      <c r="C11" s="3">
        <v>45923</v>
      </c>
      <c r="D11" t="s">
        <v>427</v>
      </c>
      <c r="E11" t="s">
        <v>419</v>
      </c>
      <c r="F11" t="s">
        <v>407</v>
      </c>
      <c r="G11" s="3">
        <v>45930</v>
      </c>
      <c r="H11" s="3">
        <v>45930</v>
      </c>
      <c r="I11" t="s">
        <v>398</v>
      </c>
      <c r="J11" t="s">
        <v>70</v>
      </c>
      <c r="K11">
        <v>1044</v>
      </c>
    </row>
    <row r="12" spans="1:11" x14ac:dyDescent="0.3">
      <c r="A12" t="s">
        <v>109</v>
      </c>
      <c r="B12" t="s">
        <v>87</v>
      </c>
      <c r="C12" s="3">
        <v>45982</v>
      </c>
      <c r="D12" t="s">
        <v>429</v>
      </c>
      <c r="E12" t="s">
        <v>419</v>
      </c>
      <c r="F12" t="s">
        <v>407</v>
      </c>
      <c r="G12" s="3">
        <v>45986</v>
      </c>
      <c r="H12" s="3">
        <v>45986</v>
      </c>
      <c r="I12" t="s">
        <v>398</v>
      </c>
      <c r="J12" t="s">
        <v>70</v>
      </c>
      <c r="K12">
        <v>1045</v>
      </c>
    </row>
    <row r="13" spans="1:11" x14ac:dyDescent="0.3">
      <c r="A13" t="s">
        <v>131</v>
      </c>
      <c r="B13" t="s">
        <v>88</v>
      </c>
      <c r="C13" s="3">
        <v>46104</v>
      </c>
      <c r="D13" t="s">
        <v>430</v>
      </c>
      <c r="E13" t="s">
        <v>419</v>
      </c>
      <c r="F13" t="s">
        <v>407</v>
      </c>
      <c r="G13" s="3">
        <v>46109</v>
      </c>
      <c r="H13" s="3">
        <v>46109</v>
      </c>
      <c r="I13" t="s">
        <v>398</v>
      </c>
      <c r="J13" t="s">
        <v>70</v>
      </c>
      <c r="K13">
        <v>1046</v>
      </c>
    </row>
    <row r="14" spans="1:11" x14ac:dyDescent="0.3">
      <c r="A14" t="s">
        <v>132</v>
      </c>
      <c r="B14" t="s">
        <v>89</v>
      </c>
      <c r="C14" s="3"/>
      <c r="G14" s="3"/>
      <c r="H14" s="3"/>
    </row>
    <row r="15" spans="1:11" x14ac:dyDescent="0.3">
      <c r="A15" t="s">
        <v>110</v>
      </c>
      <c r="B15" t="s">
        <v>90</v>
      </c>
      <c r="C15" s="3"/>
      <c r="G15" s="3"/>
      <c r="H15" s="3"/>
    </row>
    <row r="16" spans="1:11" x14ac:dyDescent="0.3">
      <c r="A16" t="s">
        <v>111</v>
      </c>
      <c r="B16" t="s">
        <v>91</v>
      </c>
      <c r="C16" s="3"/>
      <c r="G16" s="3"/>
      <c r="H16" s="3"/>
    </row>
    <row r="17" spans="1:8" x14ac:dyDescent="0.3">
      <c r="A17" t="s">
        <v>112</v>
      </c>
      <c r="B17" t="s">
        <v>92</v>
      </c>
      <c r="C17" s="3"/>
      <c r="G17" s="3"/>
      <c r="H17" s="3"/>
    </row>
    <row r="18" spans="1:8" x14ac:dyDescent="0.3">
      <c r="A18" t="s">
        <v>113</v>
      </c>
      <c r="B18" t="s">
        <v>93</v>
      </c>
      <c r="C18" s="3"/>
      <c r="G18" s="3"/>
      <c r="H18" s="3"/>
    </row>
    <row r="19" spans="1:8" x14ac:dyDescent="0.3">
      <c r="A19" t="s">
        <v>114</v>
      </c>
      <c r="B19" t="s">
        <v>94</v>
      </c>
      <c r="C19" s="3"/>
      <c r="G19" s="3"/>
      <c r="H19" s="3"/>
    </row>
    <row r="20" spans="1:8" x14ac:dyDescent="0.3">
      <c r="A20" t="s">
        <v>133</v>
      </c>
      <c r="B20" t="s">
        <v>95</v>
      </c>
      <c r="C20" s="3"/>
      <c r="G20" s="3"/>
      <c r="H20" s="3"/>
    </row>
    <row r="21" spans="1:8" x14ac:dyDescent="0.3">
      <c r="A21" t="s">
        <v>115</v>
      </c>
      <c r="B21" t="s">
        <v>96</v>
      </c>
      <c r="C21" s="3"/>
      <c r="G21" s="3"/>
      <c r="H21" s="3"/>
    </row>
    <row r="22" spans="1:8" x14ac:dyDescent="0.3">
      <c r="C22" s="3"/>
      <c r="G22" s="3"/>
      <c r="H22" s="3"/>
    </row>
    <row r="23" spans="1:8" x14ac:dyDescent="0.3">
      <c r="C23" s="3"/>
      <c r="G23" s="3"/>
      <c r="H23" s="3"/>
    </row>
    <row r="24" spans="1:8" x14ac:dyDescent="0.3">
      <c r="C24" s="3"/>
      <c r="G24" s="3"/>
      <c r="H24" s="3"/>
    </row>
    <row r="25" spans="1:8" x14ac:dyDescent="0.3">
      <c r="C25" s="3"/>
      <c r="G25" s="3"/>
      <c r="H25" s="3"/>
    </row>
    <row r="26" spans="1:8" x14ac:dyDescent="0.3">
      <c r="C26" s="3"/>
      <c r="G26" s="3"/>
      <c r="H26" s="3"/>
    </row>
    <row r="27" spans="1:8" x14ac:dyDescent="0.3">
      <c r="C27" s="3"/>
      <c r="G27" s="3"/>
      <c r="H27" s="3"/>
    </row>
    <row r="28" spans="1:8" x14ac:dyDescent="0.3">
      <c r="C28" s="3"/>
      <c r="G28" s="3"/>
      <c r="H28" s="3"/>
    </row>
    <row r="29" spans="1:8" x14ac:dyDescent="0.3">
      <c r="C29" s="3"/>
      <c r="G29" s="3"/>
      <c r="H29" s="3"/>
    </row>
    <row r="30" spans="1:8" x14ac:dyDescent="0.3">
      <c r="C30" s="3"/>
      <c r="G30" s="3"/>
      <c r="H30" s="3"/>
    </row>
    <row r="31" spans="1:8" x14ac:dyDescent="0.3">
      <c r="C31" s="3"/>
      <c r="G31" s="3"/>
      <c r="H31" s="3"/>
    </row>
    <row r="32" spans="1:8" x14ac:dyDescent="0.3">
      <c r="C32" s="3"/>
      <c r="G32" s="3"/>
      <c r="H32" s="3"/>
    </row>
    <row r="33" spans="3:8" x14ac:dyDescent="0.3">
      <c r="C33" s="3"/>
      <c r="G33" s="3"/>
      <c r="H33" s="3"/>
    </row>
    <row r="34" spans="3:8" x14ac:dyDescent="0.3">
      <c r="C34" s="3"/>
      <c r="G34" s="3"/>
      <c r="H34" s="3"/>
    </row>
    <row r="35" spans="3:8" x14ac:dyDescent="0.3">
      <c r="C35" s="3"/>
      <c r="G35" s="3"/>
      <c r="H35" s="3"/>
    </row>
    <row r="36" spans="3:8" x14ac:dyDescent="0.3">
      <c r="C36" s="3"/>
      <c r="G36" s="3"/>
      <c r="H36" s="3"/>
    </row>
    <row r="37" spans="3:8" x14ac:dyDescent="0.3">
      <c r="C37" s="3"/>
      <c r="G37" s="3"/>
      <c r="H37" s="3"/>
    </row>
    <row r="38" spans="3:8" x14ac:dyDescent="0.3">
      <c r="C38" s="3"/>
      <c r="G38" s="3"/>
      <c r="H38" s="3"/>
    </row>
    <row r="39" spans="3:8" x14ac:dyDescent="0.3">
      <c r="C39" s="3"/>
      <c r="G39" s="3"/>
      <c r="H39" s="3"/>
    </row>
    <row r="40" spans="3:8" x14ac:dyDescent="0.3">
      <c r="C40" s="3"/>
      <c r="G40" s="3"/>
      <c r="H40" s="3"/>
    </row>
    <row r="41" spans="3:8" x14ac:dyDescent="0.3">
      <c r="C41" s="3"/>
      <c r="G41" s="3"/>
      <c r="H41" s="3"/>
    </row>
    <row r="42" spans="3:8" x14ac:dyDescent="0.3">
      <c r="C42" s="3"/>
      <c r="G42" s="3"/>
      <c r="H42" s="3"/>
    </row>
    <row r="43" spans="3:8" x14ac:dyDescent="0.3">
      <c r="C43" s="3"/>
      <c r="G43" s="3"/>
      <c r="H43" s="3"/>
    </row>
    <row r="44" spans="3:8" x14ac:dyDescent="0.3">
      <c r="C44" s="3"/>
      <c r="G44" s="3"/>
      <c r="H44" s="3"/>
    </row>
    <row r="45" spans="3:8" x14ac:dyDescent="0.3">
      <c r="C45" s="3"/>
      <c r="G45" s="3"/>
      <c r="H45" s="3"/>
    </row>
    <row r="46" spans="3:8" x14ac:dyDescent="0.3">
      <c r="C46" s="3"/>
      <c r="G46" s="3"/>
      <c r="H46" s="3"/>
    </row>
    <row r="47" spans="3:8" x14ac:dyDescent="0.3">
      <c r="C47" s="3"/>
      <c r="G47" s="3"/>
      <c r="H47" s="3"/>
    </row>
    <row r="48" spans="3:8" x14ac:dyDescent="0.3">
      <c r="C48" s="3"/>
      <c r="G48" s="3"/>
      <c r="H48" s="3"/>
    </row>
    <row r="49" spans="3:8" x14ac:dyDescent="0.3">
      <c r="C49" s="3"/>
      <c r="G49" s="3"/>
      <c r="H49" s="3"/>
    </row>
    <row r="50" spans="3:8" x14ac:dyDescent="0.3">
      <c r="C50" s="3"/>
      <c r="G50" s="3"/>
    </row>
    <row r="51" spans="3:8" x14ac:dyDescent="0.3">
      <c r="C51" s="3"/>
      <c r="G51" s="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H13" sqref="H13"/>
    </sheetView>
  </sheetViews>
  <sheetFormatPr defaultRowHeight="14.4" x14ac:dyDescent="0.3"/>
  <cols>
    <col min="2" max="2" width="32.77734375" customWidth="1"/>
    <col min="3" max="3" width="27.5546875" customWidth="1"/>
    <col min="4" max="4" width="15.6640625" customWidth="1"/>
    <col min="5" max="5" width="18.33203125" customWidth="1"/>
    <col min="6" max="6" width="37" customWidth="1"/>
    <col min="7" max="7" width="16.77734375" customWidth="1"/>
    <col min="8" max="8" width="17.6640625" customWidth="1"/>
  </cols>
  <sheetData>
    <row r="1" spans="1:8" x14ac:dyDescent="0.3">
      <c r="A1" t="s">
        <v>144</v>
      </c>
      <c r="B1" t="s">
        <v>13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21</v>
      </c>
    </row>
    <row r="2" spans="1:8" x14ac:dyDescent="0.3">
      <c r="A2" t="s">
        <v>150</v>
      </c>
      <c r="B2" t="s">
        <v>547</v>
      </c>
      <c r="C2" t="s">
        <v>435</v>
      </c>
      <c r="D2" s="3">
        <v>45839</v>
      </c>
      <c r="E2" s="3">
        <v>45852</v>
      </c>
      <c r="F2" t="s">
        <v>549</v>
      </c>
      <c r="G2" t="s">
        <v>548</v>
      </c>
      <c r="H2" t="s">
        <v>177</v>
      </c>
    </row>
    <row r="3" spans="1:8" x14ac:dyDescent="0.3">
      <c r="A3" t="s">
        <v>151</v>
      </c>
      <c r="B3" t="s">
        <v>550</v>
      </c>
      <c r="C3" t="s">
        <v>435</v>
      </c>
      <c r="D3" s="3">
        <v>45853</v>
      </c>
      <c r="E3" s="3">
        <v>45869</v>
      </c>
      <c r="F3" t="s">
        <v>551</v>
      </c>
      <c r="G3" t="s">
        <v>548</v>
      </c>
      <c r="H3" t="s">
        <v>177</v>
      </c>
    </row>
    <row r="4" spans="1:8" x14ac:dyDescent="0.3">
      <c r="A4" t="s">
        <v>152</v>
      </c>
      <c r="B4" t="s">
        <v>552</v>
      </c>
      <c r="C4" t="s">
        <v>435</v>
      </c>
      <c r="D4" s="3">
        <v>45856</v>
      </c>
      <c r="E4" s="3">
        <v>45868</v>
      </c>
      <c r="F4" t="s">
        <v>553</v>
      </c>
      <c r="G4" t="s">
        <v>548</v>
      </c>
      <c r="H4" t="s">
        <v>177</v>
      </c>
    </row>
    <row r="5" spans="1:8" x14ac:dyDescent="0.3">
      <c r="A5" t="s">
        <v>153</v>
      </c>
      <c r="B5" t="s">
        <v>554</v>
      </c>
      <c r="C5" t="s">
        <v>435</v>
      </c>
      <c r="D5" s="3">
        <v>45874</v>
      </c>
      <c r="E5" s="3">
        <v>45874</v>
      </c>
      <c r="F5" t="s">
        <v>551</v>
      </c>
      <c r="G5" t="s">
        <v>548</v>
      </c>
      <c r="H5" t="s">
        <v>177</v>
      </c>
    </row>
    <row r="6" spans="1:8" x14ac:dyDescent="0.3">
      <c r="A6" t="s">
        <v>154</v>
      </c>
      <c r="B6" t="s">
        <v>556</v>
      </c>
      <c r="C6" t="s">
        <v>435</v>
      </c>
      <c r="D6" s="3">
        <v>45874</v>
      </c>
      <c r="E6" s="3">
        <v>45874</v>
      </c>
      <c r="F6" t="s">
        <v>555</v>
      </c>
      <c r="G6" t="s">
        <v>548</v>
      </c>
      <c r="H6" t="s">
        <v>177</v>
      </c>
    </row>
    <row r="7" spans="1:8" x14ac:dyDescent="0.3">
      <c r="A7" t="s">
        <v>155</v>
      </c>
      <c r="B7" t="s">
        <v>547</v>
      </c>
      <c r="C7" t="s">
        <v>435</v>
      </c>
      <c r="D7" s="3">
        <v>45901</v>
      </c>
      <c r="E7" s="3">
        <v>45901</v>
      </c>
      <c r="F7" t="s">
        <v>557</v>
      </c>
      <c r="G7" t="s">
        <v>548</v>
      </c>
      <c r="H7" t="s">
        <v>177</v>
      </c>
    </row>
    <row r="8" spans="1:8" x14ac:dyDescent="0.3">
      <c r="A8" t="s">
        <v>156</v>
      </c>
      <c r="B8" t="s">
        <v>558</v>
      </c>
      <c r="C8" t="s">
        <v>435</v>
      </c>
      <c r="D8" s="3">
        <v>45953</v>
      </c>
      <c r="E8" s="3">
        <v>45953</v>
      </c>
      <c r="F8" t="s">
        <v>559</v>
      </c>
      <c r="G8" t="s">
        <v>548</v>
      </c>
      <c r="H8" t="s">
        <v>177</v>
      </c>
    </row>
    <row r="9" spans="1:8" x14ac:dyDescent="0.3">
      <c r="A9" t="s">
        <v>157</v>
      </c>
      <c r="B9" t="s">
        <v>560</v>
      </c>
      <c r="C9" t="s">
        <v>435</v>
      </c>
      <c r="D9" s="3">
        <v>45971</v>
      </c>
      <c r="E9" s="3">
        <v>45971</v>
      </c>
      <c r="F9" t="s">
        <v>561</v>
      </c>
      <c r="G9" t="s">
        <v>548</v>
      </c>
      <c r="H9" t="s">
        <v>177</v>
      </c>
    </row>
    <row r="10" spans="1:8" x14ac:dyDescent="0.3">
      <c r="A10" t="s">
        <v>158</v>
      </c>
      <c r="B10" t="s">
        <v>562</v>
      </c>
      <c r="C10" t="s">
        <v>435</v>
      </c>
      <c r="D10" s="3">
        <v>46048</v>
      </c>
      <c r="E10" s="3">
        <v>46048</v>
      </c>
      <c r="F10" t="s">
        <v>561</v>
      </c>
      <c r="G10" t="s">
        <v>548</v>
      </c>
      <c r="H10" t="s">
        <v>177</v>
      </c>
    </row>
    <row r="11" spans="1:8" x14ac:dyDescent="0.3">
      <c r="A11" t="s">
        <v>159</v>
      </c>
      <c r="B11" t="s">
        <v>563</v>
      </c>
      <c r="C11" t="s">
        <v>435</v>
      </c>
      <c r="D11" s="3">
        <v>46108</v>
      </c>
      <c r="E11" s="3">
        <v>46108</v>
      </c>
      <c r="F11" t="s">
        <v>561</v>
      </c>
      <c r="G11" t="s">
        <v>548</v>
      </c>
      <c r="H11" t="s">
        <v>177</v>
      </c>
    </row>
    <row r="12" spans="1:8" x14ac:dyDescent="0.3">
      <c r="A12" t="s">
        <v>160</v>
      </c>
      <c r="B12" t="s">
        <v>564</v>
      </c>
      <c r="C12" t="s">
        <v>435</v>
      </c>
      <c r="D12" s="3">
        <v>46141</v>
      </c>
      <c r="E12" s="3">
        <v>46141</v>
      </c>
      <c r="F12" t="s">
        <v>565</v>
      </c>
      <c r="G12" t="s">
        <v>548</v>
      </c>
      <c r="H12" t="s">
        <v>177</v>
      </c>
    </row>
    <row r="13" spans="1:8" x14ac:dyDescent="0.3">
      <c r="A13" t="s">
        <v>161</v>
      </c>
      <c r="D13" s="3"/>
      <c r="E13" s="3"/>
    </row>
    <row r="14" spans="1:8" x14ac:dyDescent="0.3">
      <c r="A14" t="s">
        <v>162</v>
      </c>
      <c r="D14" s="3"/>
      <c r="E14" s="3"/>
    </row>
    <row r="15" spans="1:8" x14ac:dyDescent="0.3">
      <c r="A15" t="s">
        <v>163</v>
      </c>
      <c r="D15" s="3"/>
      <c r="E15" s="3"/>
    </row>
    <row r="16" spans="1:8" x14ac:dyDescent="0.3">
      <c r="A16" t="s">
        <v>164</v>
      </c>
      <c r="D16" s="3"/>
      <c r="E16" s="3"/>
    </row>
    <row r="17" spans="1:5" x14ac:dyDescent="0.3">
      <c r="A17" t="s">
        <v>165</v>
      </c>
      <c r="D17" s="3"/>
      <c r="E17" s="3"/>
    </row>
    <row r="18" spans="1:5" x14ac:dyDescent="0.3">
      <c r="A18" t="s">
        <v>166</v>
      </c>
      <c r="D18" s="3"/>
      <c r="E18" s="3"/>
    </row>
    <row r="19" spans="1:5" x14ac:dyDescent="0.3">
      <c r="A19" t="s">
        <v>167</v>
      </c>
      <c r="D19" s="3"/>
      <c r="E19" s="3"/>
    </row>
    <row r="20" spans="1:5" x14ac:dyDescent="0.3">
      <c r="A20" t="s">
        <v>168</v>
      </c>
      <c r="D20" s="3"/>
      <c r="E20" s="3"/>
    </row>
    <row r="21" spans="1:5" x14ac:dyDescent="0.3">
      <c r="A21" t="s">
        <v>169</v>
      </c>
      <c r="D21" s="3"/>
      <c r="E21" s="3"/>
    </row>
    <row r="22" spans="1:5" x14ac:dyDescent="0.3">
      <c r="A22" t="s">
        <v>170</v>
      </c>
      <c r="D22" s="3"/>
      <c r="E22" s="3"/>
    </row>
    <row r="23" spans="1:5" x14ac:dyDescent="0.3">
      <c r="A23" t="s">
        <v>171</v>
      </c>
      <c r="D23" s="3"/>
      <c r="E23" s="3"/>
    </row>
    <row r="24" spans="1:5" x14ac:dyDescent="0.3">
      <c r="A24" t="s">
        <v>172</v>
      </c>
      <c r="D24" s="3"/>
      <c r="E24" s="3"/>
    </row>
    <row r="25" spans="1:5" x14ac:dyDescent="0.3">
      <c r="A25" t="s">
        <v>173</v>
      </c>
      <c r="D25" s="3"/>
      <c r="E25" s="3"/>
    </row>
    <row r="26" spans="1:5" x14ac:dyDescent="0.3">
      <c r="A26" t="s">
        <v>174</v>
      </c>
      <c r="D26" s="3"/>
      <c r="E26" s="3"/>
    </row>
    <row r="27" spans="1:5" x14ac:dyDescent="0.3">
      <c r="A27" t="s">
        <v>175</v>
      </c>
      <c r="D27" s="3"/>
      <c r="E27" s="3"/>
    </row>
    <row r="28" spans="1:5" x14ac:dyDescent="0.3">
      <c r="A28" t="s">
        <v>176</v>
      </c>
      <c r="D28" s="3"/>
      <c r="E2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topLeftCell="A46" workbookViewId="0">
      <selection activeCell="G58" sqref="G58"/>
    </sheetView>
  </sheetViews>
  <sheetFormatPr defaultRowHeight="14.4" x14ac:dyDescent="0.3"/>
  <cols>
    <col min="1" max="1" width="13.5546875" customWidth="1"/>
    <col min="2" max="2" width="46.6640625" customWidth="1"/>
    <col min="3" max="3" width="23.21875" customWidth="1"/>
    <col min="5" max="5" width="17.77734375" customWidth="1"/>
    <col min="6" max="6" width="19.5546875" customWidth="1"/>
  </cols>
  <sheetData>
    <row r="1" spans="1:7" x14ac:dyDescent="0.3">
      <c r="A1" t="s">
        <v>178</v>
      </c>
      <c r="B1" t="s">
        <v>179</v>
      </c>
      <c r="C1" t="s">
        <v>18</v>
      </c>
      <c r="D1" t="s">
        <v>180</v>
      </c>
      <c r="E1" t="s">
        <v>181</v>
      </c>
      <c r="F1" t="s">
        <v>182</v>
      </c>
      <c r="G1" t="s">
        <v>21</v>
      </c>
    </row>
    <row r="2" spans="1:7" x14ac:dyDescent="0.3">
      <c r="A2" t="s">
        <v>183</v>
      </c>
      <c r="B2" t="s">
        <v>184</v>
      </c>
      <c r="C2" t="s">
        <v>185</v>
      </c>
      <c r="D2">
        <v>2</v>
      </c>
      <c r="E2" s="3">
        <v>45887.767464467594</v>
      </c>
      <c r="F2" s="3">
        <v>46252.767464467594</v>
      </c>
      <c r="G2" t="s">
        <v>186</v>
      </c>
    </row>
    <row r="3" spans="1:7" x14ac:dyDescent="0.3">
      <c r="A3" t="s">
        <v>433</v>
      </c>
      <c r="B3" t="s">
        <v>434</v>
      </c>
      <c r="C3" t="s">
        <v>435</v>
      </c>
      <c r="D3">
        <v>2</v>
      </c>
      <c r="E3" s="3">
        <v>45198</v>
      </c>
      <c r="F3" s="3">
        <v>46522</v>
      </c>
      <c r="G3" t="s">
        <v>186</v>
      </c>
    </row>
    <row r="4" spans="1:7" x14ac:dyDescent="0.3">
      <c r="A4" t="s">
        <v>436</v>
      </c>
      <c r="B4" t="s">
        <v>437</v>
      </c>
      <c r="C4" t="s">
        <v>435</v>
      </c>
      <c r="D4">
        <v>2</v>
      </c>
      <c r="E4" s="3">
        <v>45198</v>
      </c>
      <c r="F4" s="3">
        <v>46522</v>
      </c>
      <c r="G4" t="s">
        <v>186</v>
      </c>
    </row>
    <row r="5" spans="1:7" x14ac:dyDescent="0.3">
      <c r="A5" t="s">
        <v>438</v>
      </c>
      <c r="B5" t="s">
        <v>439</v>
      </c>
      <c r="C5" t="s">
        <v>435</v>
      </c>
      <c r="D5">
        <v>2</v>
      </c>
      <c r="E5" s="3">
        <v>45198</v>
      </c>
      <c r="F5" s="3">
        <v>46512</v>
      </c>
      <c r="G5" t="s">
        <v>186</v>
      </c>
    </row>
    <row r="6" spans="1:7" x14ac:dyDescent="0.3">
      <c r="A6" t="s">
        <v>440</v>
      </c>
      <c r="B6" t="s">
        <v>441</v>
      </c>
      <c r="C6" t="s">
        <v>435</v>
      </c>
      <c r="D6">
        <v>2</v>
      </c>
      <c r="E6" s="3">
        <v>45198</v>
      </c>
      <c r="F6" s="3">
        <v>46522</v>
      </c>
      <c r="G6" t="s">
        <v>186</v>
      </c>
    </row>
    <row r="7" spans="1:7" x14ac:dyDescent="0.3">
      <c r="A7" t="s">
        <v>442</v>
      </c>
      <c r="B7" t="s">
        <v>443</v>
      </c>
      <c r="C7" t="s">
        <v>435</v>
      </c>
      <c r="D7">
        <v>2</v>
      </c>
      <c r="E7" s="3">
        <v>45198</v>
      </c>
      <c r="F7" s="3">
        <v>46522</v>
      </c>
      <c r="G7" t="s">
        <v>186</v>
      </c>
    </row>
    <row r="8" spans="1:7" x14ac:dyDescent="0.3">
      <c r="A8" t="s">
        <v>444</v>
      </c>
      <c r="B8" t="s">
        <v>445</v>
      </c>
      <c r="C8" t="s">
        <v>435</v>
      </c>
      <c r="D8">
        <v>2</v>
      </c>
      <c r="E8" s="3">
        <v>45198</v>
      </c>
      <c r="F8" s="3">
        <v>46522</v>
      </c>
      <c r="G8" t="s">
        <v>186</v>
      </c>
    </row>
    <row r="9" spans="1:7" x14ac:dyDescent="0.3">
      <c r="A9" t="s">
        <v>446</v>
      </c>
      <c r="B9" t="s">
        <v>447</v>
      </c>
      <c r="C9" t="s">
        <v>435</v>
      </c>
      <c r="D9">
        <v>2</v>
      </c>
      <c r="E9" s="3">
        <v>45198</v>
      </c>
      <c r="F9" s="3">
        <v>46522</v>
      </c>
      <c r="G9" t="s">
        <v>186</v>
      </c>
    </row>
    <row r="10" spans="1:7" x14ac:dyDescent="0.3">
      <c r="A10" t="s">
        <v>448</v>
      </c>
      <c r="B10" t="s">
        <v>449</v>
      </c>
      <c r="C10" t="s">
        <v>435</v>
      </c>
      <c r="D10">
        <v>2</v>
      </c>
      <c r="E10" s="3">
        <v>45198</v>
      </c>
      <c r="F10" s="3">
        <v>46522</v>
      </c>
      <c r="G10" t="s">
        <v>186</v>
      </c>
    </row>
    <row r="11" spans="1:7" x14ac:dyDescent="0.3">
      <c r="A11" t="s">
        <v>450</v>
      </c>
      <c r="B11" t="s">
        <v>451</v>
      </c>
      <c r="C11" t="s">
        <v>435</v>
      </c>
      <c r="D11">
        <v>2</v>
      </c>
      <c r="E11" s="3">
        <v>45198</v>
      </c>
      <c r="F11" s="3">
        <v>46522</v>
      </c>
      <c r="G11" t="s">
        <v>186</v>
      </c>
    </row>
    <row r="12" spans="1:7" x14ac:dyDescent="0.3">
      <c r="A12" t="s">
        <v>452</v>
      </c>
      <c r="B12" t="s">
        <v>453</v>
      </c>
      <c r="C12" t="s">
        <v>435</v>
      </c>
      <c r="D12">
        <v>2</v>
      </c>
      <c r="E12" s="3">
        <v>45198</v>
      </c>
      <c r="F12" s="3">
        <v>46522</v>
      </c>
      <c r="G12" t="s">
        <v>186</v>
      </c>
    </row>
    <row r="13" spans="1:7" x14ac:dyDescent="0.3">
      <c r="A13" t="s">
        <v>454</v>
      </c>
      <c r="B13" t="s">
        <v>455</v>
      </c>
      <c r="C13" t="s">
        <v>435</v>
      </c>
      <c r="D13">
        <v>0</v>
      </c>
      <c r="E13" s="3">
        <v>43210</v>
      </c>
      <c r="F13" s="3">
        <v>46522</v>
      </c>
      <c r="G13" t="s">
        <v>186</v>
      </c>
    </row>
    <row r="14" spans="1:7" x14ac:dyDescent="0.3">
      <c r="A14" t="s">
        <v>456</v>
      </c>
      <c r="B14" t="s">
        <v>457</v>
      </c>
      <c r="C14" t="s">
        <v>435</v>
      </c>
      <c r="D14">
        <v>2</v>
      </c>
      <c r="E14" s="3">
        <v>43210</v>
      </c>
      <c r="F14" s="3">
        <v>46512</v>
      </c>
      <c r="G14" t="s">
        <v>186</v>
      </c>
    </row>
    <row r="15" spans="1:7" x14ac:dyDescent="0.3">
      <c r="A15" t="s">
        <v>460</v>
      </c>
      <c r="B15" t="s">
        <v>458</v>
      </c>
      <c r="C15" t="s">
        <v>435</v>
      </c>
      <c r="D15">
        <v>2</v>
      </c>
      <c r="E15" s="3">
        <v>43210</v>
      </c>
      <c r="F15" s="3">
        <v>46522</v>
      </c>
      <c r="G15" t="s">
        <v>186</v>
      </c>
    </row>
    <row r="16" spans="1:7" x14ac:dyDescent="0.3">
      <c r="A16" t="s">
        <v>459</v>
      </c>
      <c r="B16" t="s">
        <v>461</v>
      </c>
      <c r="C16" t="s">
        <v>435</v>
      </c>
      <c r="D16">
        <v>0</v>
      </c>
      <c r="E16" s="3">
        <v>43210</v>
      </c>
      <c r="F16" s="3">
        <v>46522</v>
      </c>
      <c r="G16" t="s">
        <v>186</v>
      </c>
    </row>
    <row r="17" spans="1:7" x14ac:dyDescent="0.3">
      <c r="A17" t="s">
        <v>462</v>
      </c>
      <c r="B17" t="s">
        <v>463</v>
      </c>
      <c r="C17" t="s">
        <v>435</v>
      </c>
      <c r="D17">
        <v>0</v>
      </c>
      <c r="E17" s="3">
        <v>43210</v>
      </c>
      <c r="F17" s="3">
        <v>46522</v>
      </c>
      <c r="G17" t="s">
        <v>186</v>
      </c>
    </row>
    <row r="18" spans="1:7" x14ac:dyDescent="0.3">
      <c r="A18" t="s">
        <v>464</v>
      </c>
      <c r="B18" t="s">
        <v>465</v>
      </c>
      <c r="C18" t="s">
        <v>435</v>
      </c>
      <c r="D18">
        <v>0</v>
      </c>
      <c r="E18" s="3">
        <v>43210</v>
      </c>
      <c r="F18" s="3">
        <v>46522</v>
      </c>
      <c r="G18" t="s">
        <v>186</v>
      </c>
    </row>
    <row r="19" spans="1:7" x14ac:dyDescent="0.3">
      <c r="A19" t="s">
        <v>466</v>
      </c>
      <c r="B19" t="s">
        <v>467</v>
      </c>
      <c r="C19" t="s">
        <v>435</v>
      </c>
      <c r="D19">
        <v>0</v>
      </c>
      <c r="E19" s="3">
        <v>43210</v>
      </c>
      <c r="F19" s="3">
        <v>46522</v>
      </c>
      <c r="G19" t="s">
        <v>186</v>
      </c>
    </row>
    <row r="20" spans="1:7" x14ac:dyDescent="0.3">
      <c r="A20" t="s">
        <v>468</v>
      </c>
      <c r="B20" t="s">
        <v>469</v>
      </c>
      <c r="C20" t="s">
        <v>435</v>
      </c>
      <c r="D20">
        <v>0</v>
      </c>
      <c r="E20" s="3">
        <v>43210</v>
      </c>
      <c r="F20" s="3">
        <v>46522</v>
      </c>
      <c r="G20" t="s">
        <v>186</v>
      </c>
    </row>
    <row r="21" spans="1:7" x14ac:dyDescent="0.3">
      <c r="A21" t="s">
        <v>470</v>
      </c>
      <c r="B21" t="s">
        <v>471</v>
      </c>
      <c r="C21" t="s">
        <v>435</v>
      </c>
      <c r="D21">
        <v>0</v>
      </c>
      <c r="E21" s="3">
        <v>43210</v>
      </c>
      <c r="F21" s="3">
        <v>46522</v>
      </c>
      <c r="G21" t="s">
        <v>186</v>
      </c>
    </row>
    <row r="22" spans="1:7" x14ac:dyDescent="0.3">
      <c r="A22" t="s">
        <v>472</v>
      </c>
      <c r="B22" t="s">
        <v>473</v>
      </c>
      <c r="C22" t="s">
        <v>435</v>
      </c>
      <c r="D22">
        <v>0</v>
      </c>
      <c r="E22" s="3">
        <v>43210</v>
      </c>
      <c r="F22" s="3">
        <v>46522</v>
      </c>
      <c r="G22" t="s">
        <v>186</v>
      </c>
    </row>
    <row r="23" spans="1:7" x14ac:dyDescent="0.3">
      <c r="A23" t="s">
        <v>476</v>
      </c>
      <c r="B23" t="s">
        <v>474</v>
      </c>
      <c r="C23" t="s">
        <v>435</v>
      </c>
      <c r="D23">
        <v>0</v>
      </c>
      <c r="E23" s="3">
        <v>43210</v>
      </c>
      <c r="F23" s="3">
        <v>46522</v>
      </c>
      <c r="G23" t="s">
        <v>186</v>
      </c>
    </row>
    <row r="24" spans="1:7" x14ac:dyDescent="0.3">
      <c r="A24" t="s">
        <v>475</v>
      </c>
      <c r="B24" t="s">
        <v>477</v>
      </c>
      <c r="C24" t="s">
        <v>435</v>
      </c>
      <c r="D24">
        <v>0</v>
      </c>
      <c r="E24" s="3">
        <v>43210</v>
      </c>
      <c r="F24" s="3">
        <v>46522</v>
      </c>
      <c r="G24" t="s">
        <v>186</v>
      </c>
    </row>
    <row r="25" spans="1:7" x14ac:dyDescent="0.3">
      <c r="A25" t="s">
        <v>478</v>
      </c>
      <c r="B25" t="s">
        <v>479</v>
      </c>
      <c r="C25" t="s">
        <v>435</v>
      </c>
      <c r="D25">
        <v>0</v>
      </c>
      <c r="E25" s="3">
        <v>43210</v>
      </c>
      <c r="F25" s="3">
        <v>46522</v>
      </c>
      <c r="G25" t="s">
        <v>186</v>
      </c>
    </row>
    <row r="26" spans="1:7" x14ac:dyDescent="0.3">
      <c r="A26" t="s">
        <v>480</v>
      </c>
      <c r="B26" t="s">
        <v>481</v>
      </c>
      <c r="C26" t="s">
        <v>435</v>
      </c>
      <c r="D26">
        <v>0</v>
      </c>
      <c r="E26" s="3">
        <v>43210</v>
      </c>
      <c r="F26" s="3">
        <v>46522</v>
      </c>
      <c r="G26" t="s">
        <v>186</v>
      </c>
    </row>
    <row r="27" spans="1:7" x14ac:dyDescent="0.3">
      <c r="A27" t="s">
        <v>482</v>
      </c>
      <c r="B27" t="s">
        <v>483</v>
      </c>
      <c r="C27" t="s">
        <v>435</v>
      </c>
      <c r="D27">
        <v>0</v>
      </c>
      <c r="E27" s="3">
        <v>43210</v>
      </c>
      <c r="F27" s="3">
        <v>46522</v>
      </c>
      <c r="G27" t="s">
        <v>186</v>
      </c>
    </row>
    <row r="28" spans="1:7" x14ac:dyDescent="0.3">
      <c r="A28" t="s">
        <v>484</v>
      </c>
      <c r="B28" t="s">
        <v>485</v>
      </c>
      <c r="C28" t="s">
        <v>435</v>
      </c>
      <c r="D28">
        <v>0</v>
      </c>
      <c r="E28" s="3">
        <v>43210</v>
      </c>
      <c r="F28" s="3">
        <v>46522</v>
      </c>
      <c r="G28" t="s">
        <v>186</v>
      </c>
    </row>
    <row r="29" spans="1:7" x14ac:dyDescent="0.3">
      <c r="A29" t="s">
        <v>486</v>
      </c>
      <c r="B29" t="s">
        <v>487</v>
      </c>
      <c r="C29" t="s">
        <v>435</v>
      </c>
      <c r="D29">
        <v>0</v>
      </c>
      <c r="E29" s="3">
        <v>43210</v>
      </c>
      <c r="F29" s="3">
        <v>46522</v>
      </c>
      <c r="G29" t="s">
        <v>186</v>
      </c>
    </row>
    <row r="30" spans="1:7" x14ac:dyDescent="0.3">
      <c r="A30" t="s">
        <v>488</v>
      </c>
      <c r="B30" t="s">
        <v>489</v>
      </c>
      <c r="C30" t="s">
        <v>435</v>
      </c>
      <c r="D30">
        <v>1</v>
      </c>
      <c r="E30" s="3">
        <v>43210</v>
      </c>
      <c r="F30" s="3">
        <v>46522</v>
      </c>
      <c r="G30" t="s">
        <v>186</v>
      </c>
    </row>
    <row r="31" spans="1:7" x14ac:dyDescent="0.3">
      <c r="A31" t="s">
        <v>490</v>
      </c>
      <c r="B31" t="s">
        <v>492</v>
      </c>
      <c r="C31" t="s">
        <v>435</v>
      </c>
      <c r="D31">
        <v>2</v>
      </c>
      <c r="E31" s="3">
        <v>43210</v>
      </c>
      <c r="F31" s="3" t="s">
        <v>530</v>
      </c>
      <c r="G31" t="s">
        <v>186</v>
      </c>
    </row>
    <row r="32" spans="1:7" x14ac:dyDescent="0.3">
      <c r="A32" t="s">
        <v>491</v>
      </c>
      <c r="B32" t="s">
        <v>493</v>
      </c>
      <c r="C32" t="s">
        <v>435</v>
      </c>
      <c r="D32">
        <v>2</v>
      </c>
      <c r="E32" s="3">
        <v>43210</v>
      </c>
      <c r="F32" s="3">
        <v>46522</v>
      </c>
      <c r="G32" t="s">
        <v>186</v>
      </c>
    </row>
    <row r="33" spans="1:7" x14ac:dyDescent="0.3">
      <c r="A33" t="s">
        <v>494</v>
      </c>
      <c r="B33" t="s">
        <v>495</v>
      </c>
      <c r="C33" t="s">
        <v>435</v>
      </c>
      <c r="D33">
        <v>0</v>
      </c>
      <c r="E33" s="3">
        <v>43210</v>
      </c>
      <c r="F33" s="3">
        <v>46522</v>
      </c>
      <c r="G33" t="s">
        <v>186</v>
      </c>
    </row>
    <row r="34" spans="1:7" x14ac:dyDescent="0.3">
      <c r="A34" t="s">
        <v>496</v>
      </c>
      <c r="B34" t="s">
        <v>497</v>
      </c>
      <c r="C34" t="s">
        <v>435</v>
      </c>
      <c r="D34">
        <v>0</v>
      </c>
      <c r="E34" s="3">
        <v>43210</v>
      </c>
      <c r="F34" s="3">
        <v>46522</v>
      </c>
      <c r="G34" t="s">
        <v>186</v>
      </c>
    </row>
    <row r="35" spans="1:7" x14ac:dyDescent="0.3">
      <c r="A35" t="s">
        <v>498</v>
      </c>
      <c r="B35" t="s">
        <v>499</v>
      </c>
      <c r="C35" t="s">
        <v>435</v>
      </c>
      <c r="D35">
        <v>0</v>
      </c>
      <c r="E35" s="3">
        <v>43210</v>
      </c>
      <c r="F35" s="3">
        <v>46522</v>
      </c>
      <c r="G35" t="s">
        <v>186</v>
      </c>
    </row>
    <row r="36" spans="1:7" x14ac:dyDescent="0.3">
      <c r="A36" t="s">
        <v>500</v>
      </c>
      <c r="B36" t="s">
        <v>501</v>
      </c>
      <c r="C36" t="s">
        <v>435</v>
      </c>
      <c r="D36">
        <v>0</v>
      </c>
      <c r="E36" s="3">
        <v>43210</v>
      </c>
      <c r="F36" s="3">
        <v>46522</v>
      </c>
      <c r="G36" t="s">
        <v>186</v>
      </c>
    </row>
    <row r="37" spans="1:7" x14ac:dyDescent="0.3">
      <c r="A37" t="s">
        <v>502</v>
      </c>
      <c r="B37" t="s">
        <v>503</v>
      </c>
      <c r="C37" t="s">
        <v>435</v>
      </c>
      <c r="D37">
        <v>0</v>
      </c>
      <c r="E37" s="3">
        <v>43210</v>
      </c>
      <c r="F37" s="3">
        <v>46522</v>
      </c>
      <c r="G37" t="s">
        <v>186</v>
      </c>
    </row>
    <row r="38" spans="1:7" x14ac:dyDescent="0.3">
      <c r="A38" t="s">
        <v>504</v>
      </c>
      <c r="B38" t="s">
        <v>505</v>
      </c>
      <c r="C38" t="s">
        <v>435</v>
      </c>
      <c r="D38">
        <v>0</v>
      </c>
      <c r="E38" s="3">
        <v>43210</v>
      </c>
      <c r="F38" s="3">
        <v>46522</v>
      </c>
      <c r="G38" t="s">
        <v>186</v>
      </c>
    </row>
    <row r="39" spans="1:7" x14ac:dyDescent="0.3">
      <c r="A39" t="s">
        <v>506</v>
      </c>
      <c r="B39" t="s">
        <v>507</v>
      </c>
      <c r="C39" t="s">
        <v>435</v>
      </c>
      <c r="D39">
        <v>0</v>
      </c>
      <c r="E39" s="3">
        <v>43210</v>
      </c>
      <c r="F39" s="3">
        <v>46522</v>
      </c>
      <c r="G39" t="s">
        <v>186</v>
      </c>
    </row>
    <row r="40" spans="1:7" x14ac:dyDescent="0.3">
      <c r="A40" t="s">
        <v>508</v>
      </c>
      <c r="B40" t="s">
        <v>509</v>
      </c>
      <c r="C40" t="s">
        <v>435</v>
      </c>
      <c r="D40">
        <v>0</v>
      </c>
      <c r="E40" s="3">
        <v>43210</v>
      </c>
      <c r="F40" s="3">
        <v>46522</v>
      </c>
      <c r="G40" t="s">
        <v>186</v>
      </c>
    </row>
    <row r="41" spans="1:7" x14ac:dyDescent="0.3">
      <c r="A41" t="s">
        <v>510</v>
      </c>
      <c r="B41" t="s">
        <v>511</v>
      </c>
      <c r="C41" t="s">
        <v>435</v>
      </c>
      <c r="D41">
        <v>0</v>
      </c>
      <c r="E41" s="3">
        <v>43210</v>
      </c>
      <c r="F41" s="3">
        <v>46522</v>
      </c>
      <c r="G41" t="s">
        <v>186</v>
      </c>
    </row>
    <row r="42" spans="1:7" x14ac:dyDescent="0.3">
      <c r="A42" t="s">
        <v>512</v>
      </c>
      <c r="B42" t="s">
        <v>513</v>
      </c>
      <c r="C42" t="s">
        <v>435</v>
      </c>
      <c r="D42">
        <v>0</v>
      </c>
      <c r="E42" s="3">
        <v>43210</v>
      </c>
      <c r="F42" s="3">
        <v>46522</v>
      </c>
      <c r="G42" t="s">
        <v>186</v>
      </c>
    </row>
    <row r="43" spans="1:7" x14ac:dyDescent="0.3">
      <c r="A43" t="s">
        <v>514</v>
      </c>
      <c r="B43" t="s">
        <v>515</v>
      </c>
      <c r="C43" t="s">
        <v>435</v>
      </c>
      <c r="D43">
        <v>0</v>
      </c>
      <c r="E43" s="3">
        <v>43210</v>
      </c>
      <c r="F43" s="3">
        <v>46522</v>
      </c>
      <c r="G43" t="s">
        <v>186</v>
      </c>
    </row>
    <row r="44" spans="1:7" x14ac:dyDescent="0.3">
      <c r="A44" t="s">
        <v>516</v>
      </c>
      <c r="B44" t="s">
        <v>517</v>
      </c>
      <c r="C44" t="s">
        <v>435</v>
      </c>
      <c r="D44">
        <v>0</v>
      </c>
      <c r="E44" s="3">
        <v>43240</v>
      </c>
      <c r="F44" s="3">
        <v>46522</v>
      </c>
      <c r="G44" t="s">
        <v>186</v>
      </c>
    </row>
    <row r="45" spans="1:7" x14ac:dyDescent="0.3">
      <c r="A45" t="s">
        <v>518</v>
      </c>
      <c r="B45" t="s">
        <v>519</v>
      </c>
      <c r="C45" t="s">
        <v>435</v>
      </c>
      <c r="D45">
        <v>0</v>
      </c>
      <c r="E45" s="3">
        <v>43210</v>
      </c>
      <c r="F45" s="3">
        <v>46522</v>
      </c>
      <c r="G45" t="s">
        <v>186</v>
      </c>
    </row>
    <row r="46" spans="1:7" x14ac:dyDescent="0.3">
      <c r="A46" t="s">
        <v>520</v>
      </c>
      <c r="B46" t="s">
        <v>521</v>
      </c>
      <c r="C46" t="s">
        <v>435</v>
      </c>
      <c r="D46">
        <v>0</v>
      </c>
      <c r="E46" s="3">
        <v>43210</v>
      </c>
      <c r="F46" s="3">
        <v>46522</v>
      </c>
      <c r="G46" t="s">
        <v>186</v>
      </c>
    </row>
    <row r="47" spans="1:7" x14ac:dyDescent="0.3">
      <c r="A47" t="s">
        <v>522</v>
      </c>
      <c r="B47" t="s">
        <v>523</v>
      </c>
      <c r="C47" t="s">
        <v>435</v>
      </c>
      <c r="D47">
        <v>0</v>
      </c>
      <c r="E47" s="3">
        <v>43210</v>
      </c>
      <c r="F47" s="3">
        <v>46522</v>
      </c>
      <c r="G47" t="s">
        <v>186</v>
      </c>
    </row>
    <row r="48" spans="1:7" x14ac:dyDescent="0.3">
      <c r="A48" t="s">
        <v>524</v>
      </c>
      <c r="B48" t="s">
        <v>526</v>
      </c>
      <c r="C48" t="s">
        <v>435</v>
      </c>
      <c r="D48">
        <v>0</v>
      </c>
      <c r="E48" s="3">
        <v>43210</v>
      </c>
      <c r="F48" s="3">
        <v>46522</v>
      </c>
      <c r="G48" t="s">
        <v>186</v>
      </c>
    </row>
    <row r="49" spans="1:7" x14ac:dyDescent="0.3">
      <c r="A49" t="s">
        <v>525</v>
      </c>
      <c r="B49" t="s">
        <v>527</v>
      </c>
      <c r="C49" t="s">
        <v>435</v>
      </c>
      <c r="D49">
        <v>0</v>
      </c>
      <c r="E49" s="3">
        <v>43210</v>
      </c>
      <c r="F49" s="3">
        <v>46522</v>
      </c>
      <c r="G49" t="s">
        <v>186</v>
      </c>
    </row>
    <row r="50" spans="1:7" x14ac:dyDescent="0.3">
      <c r="A50" t="s">
        <v>528</v>
      </c>
      <c r="B50" t="s">
        <v>529</v>
      </c>
      <c r="C50" t="s">
        <v>435</v>
      </c>
      <c r="D50">
        <v>0</v>
      </c>
      <c r="E50" s="3">
        <v>43210</v>
      </c>
      <c r="F50" s="3">
        <v>46522</v>
      </c>
      <c r="G50" t="s">
        <v>186</v>
      </c>
    </row>
    <row r="51" spans="1:7" x14ac:dyDescent="0.3">
      <c r="A51" t="s">
        <v>531</v>
      </c>
      <c r="B51" t="s">
        <v>532</v>
      </c>
      <c r="C51" t="s">
        <v>435</v>
      </c>
      <c r="D51">
        <v>0</v>
      </c>
      <c r="E51" s="3">
        <v>43210</v>
      </c>
      <c r="F51" s="3">
        <v>46522</v>
      </c>
      <c r="G51" t="s">
        <v>186</v>
      </c>
    </row>
    <row r="52" spans="1:7" x14ac:dyDescent="0.3">
      <c r="A52" t="s">
        <v>533</v>
      </c>
      <c r="B52" t="s">
        <v>534</v>
      </c>
      <c r="C52" t="s">
        <v>435</v>
      </c>
      <c r="D52">
        <v>0</v>
      </c>
      <c r="E52" s="3">
        <v>43210</v>
      </c>
      <c r="F52" s="3">
        <v>46522</v>
      </c>
      <c r="G52" t="s">
        <v>186</v>
      </c>
    </row>
    <row r="53" spans="1:7" x14ac:dyDescent="0.3">
      <c r="A53" t="s">
        <v>535</v>
      </c>
      <c r="B53" t="s">
        <v>536</v>
      </c>
      <c r="C53" t="s">
        <v>435</v>
      </c>
      <c r="D53">
        <v>0</v>
      </c>
      <c r="E53" s="3">
        <v>43210</v>
      </c>
      <c r="F53" s="3">
        <v>46522</v>
      </c>
      <c r="G53" t="s">
        <v>186</v>
      </c>
    </row>
    <row r="54" spans="1:7" x14ac:dyDescent="0.3">
      <c r="A54" t="s">
        <v>537</v>
      </c>
      <c r="B54" t="s">
        <v>538</v>
      </c>
      <c r="C54" t="s">
        <v>435</v>
      </c>
      <c r="D54">
        <v>0</v>
      </c>
      <c r="E54" s="3">
        <v>43210</v>
      </c>
      <c r="F54" s="3">
        <v>46522</v>
      </c>
      <c r="G54" t="s">
        <v>186</v>
      </c>
    </row>
    <row r="55" spans="1:7" x14ac:dyDescent="0.3">
      <c r="A55" t="s">
        <v>539</v>
      </c>
      <c r="B55" t="s">
        <v>540</v>
      </c>
      <c r="C55" t="s">
        <v>435</v>
      </c>
      <c r="D55">
        <v>0</v>
      </c>
      <c r="E55" s="3">
        <v>43210</v>
      </c>
      <c r="F55" s="3">
        <v>46522</v>
      </c>
      <c r="G55" t="s">
        <v>186</v>
      </c>
    </row>
    <row r="56" spans="1:7" x14ac:dyDescent="0.3">
      <c r="A56" t="s">
        <v>541</v>
      </c>
      <c r="B56" t="s">
        <v>542</v>
      </c>
      <c r="C56" t="s">
        <v>435</v>
      </c>
      <c r="D56">
        <v>0</v>
      </c>
      <c r="E56" s="3">
        <v>43210</v>
      </c>
      <c r="F56" s="3">
        <v>46522</v>
      </c>
      <c r="G56" t="s">
        <v>186</v>
      </c>
    </row>
    <row r="57" spans="1:7" x14ac:dyDescent="0.3">
      <c r="A57" t="s">
        <v>543</v>
      </c>
      <c r="B57" t="s">
        <v>544</v>
      </c>
      <c r="C57" t="s">
        <v>435</v>
      </c>
      <c r="D57">
        <v>0</v>
      </c>
      <c r="E57" s="3">
        <v>43210</v>
      </c>
      <c r="F57" s="3">
        <v>46522</v>
      </c>
      <c r="G57" t="s">
        <v>186</v>
      </c>
    </row>
    <row r="58" spans="1:7" x14ac:dyDescent="0.3">
      <c r="A58" t="s">
        <v>545</v>
      </c>
      <c r="B58" t="s">
        <v>546</v>
      </c>
      <c r="C58" t="s">
        <v>435</v>
      </c>
      <c r="D58">
        <v>0</v>
      </c>
      <c r="E58" s="3">
        <v>43210</v>
      </c>
      <c r="F58" s="3">
        <v>46522</v>
      </c>
      <c r="G58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3"/>
  <sheetViews>
    <sheetView tabSelected="1" topLeftCell="A83" workbookViewId="0">
      <selection activeCell="G73" sqref="G73"/>
    </sheetView>
  </sheetViews>
  <sheetFormatPr defaultRowHeight="14.4" x14ac:dyDescent="0.3"/>
  <cols>
    <col min="1" max="1" width="22" customWidth="1"/>
    <col min="2" max="2" width="19.5546875" customWidth="1"/>
    <col min="3" max="3" width="26.6640625" customWidth="1"/>
    <col min="4" max="4" width="14.77734375" customWidth="1"/>
    <col min="5" max="5" width="14.44140625" customWidth="1"/>
    <col min="6" max="6" width="16.109375" customWidth="1"/>
    <col min="7" max="7" width="18.77734375" customWidth="1"/>
    <col min="8" max="8" width="13.5546875" customWidth="1"/>
    <col min="10" max="10" width="21.33203125" customWidth="1"/>
    <col min="11" max="12" width="17.77734375" customWidth="1"/>
  </cols>
  <sheetData>
    <row r="1" spans="1:12" x14ac:dyDescent="0.3">
      <c r="A1" t="s">
        <v>187</v>
      </c>
      <c r="B1" t="s">
        <v>584</v>
      </c>
      <c r="C1" t="s">
        <v>589</v>
      </c>
      <c r="D1" t="s">
        <v>188</v>
      </c>
      <c r="E1" t="s">
        <v>189</v>
      </c>
      <c r="F1" t="s">
        <v>190</v>
      </c>
      <c r="G1" t="s">
        <v>21</v>
      </c>
      <c r="H1" t="s">
        <v>586</v>
      </c>
      <c r="I1" t="s">
        <v>587</v>
      </c>
      <c r="J1" t="s">
        <v>214</v>
      </c>
      <c r="K1" t="s">
        <v>592</v>
      </c>
      <c r="L1" t="s">
        <v>601</v>
      </c>
    </row>
    <row r="2" spans="1:12" x14ac:dyDescent="0.3">
      <c r="A2" t="s">
        <v>583</v>
      </c>
      <c r="B2" s="6">
        <v>8409215036083</v>
      </c>
      <c r="C2" t="s">
        <v>579</v>
      </c>
      <c r="D2" t="s">
        <v>580</v>
      </c>
      <c r="E2" s="3">
        <v>42796</v>
      </c>
      <c r="F2" s="3"/>
      <c r="G2" t="s">
        <v>192</v>
      </c>
      <c r="H2" t="s">
        <v>585</v>
      </c>
      <c r="I2" t="s">
        <v>588</v>
      </c>
      <c r="J2" t="s">
        <v>582</v>
      </c>
      <c r="K2" s="3">
        <v>44742</v>
      </c>
    </row>
    <row r="3" spans="1:12" x14ac:dyDescent="0.3">
      <c r="A3" t="s">
        <v>590</v>
      </c>
      <c r="B3" s="6">
        <v>6503185125082</v>
      </c>
      <c r="C3" t="s">
        <v>591</v>
      </c>
      <c r="D3" s="3" t="s">
        <v>580</v>
      </c>
      <c r="E3" s="3"/>
      <c r="F3" s="3"/>
      <c r="G3" s="3" t="s">
        <v>192</v>
      </c>
      <c r="H3" s="3" t="s">
        <v>585</v>
      </c>
      <c r="J3" t="s">
        <v>593</v>
      </c>
      <c r="K3" s="3">
        <v>40988</v>
      </c>
    </row>
    <row r="4" spans="1:12" x14ac:dyDescent="0.3">
      <c r="D4" s="3"/>
      <c r="E4" s="3"/>
      <c r="F4" s="3"/>
      <c r="G4" s="3"/>
      <c r="J4" t="s">
        <v>594</v>
      </c>
      <c r="K4" s="3">
        <v>40985</v>
      </c>
    </row>
    <row r="5" spans="1:12" x14ac:dyDescent="0.3">
      <c r="A5" t="s">
        <v>595</v>
      </c>
      <c r="B5" s="6">
        <v>9411305182081</v>
      </c>
      <c r="C5" t="s">
        <v>596</v>
      </c>
      <c r="D5" s="3" t="s">
        <v>597</v>
      </c>
      <c r="E5" s="3"/>
      <c r="F5" s="3"/>
      <c r="H5" t="s">
        <v>598</v>
      </c>
      <c r="I5" t="s">
        <v>599</v>
      </c>
      <c r="J5" t="s">
        <v>600</v>
      </c>
      <c r="K5" s="3">
        <v>45806</v>
      </c>
      <c r="L5" s="3">
        <v>46535</v>
      </c>
    </row>
    <row r="6" spans="1:12" x14ac:dyDescent="0.3">
      <c r="A6" t="s">
        <v>602</v>
      </c>
      <c r="B6" s="6">
        <v>7311015109089</v>
      </c>
      <c r="C6" t="s">
        <v>603</v>
      </c>
      <c r="D6" s="3" t="s">
        <v>597</v>
      </c>
      <c r="E6" s="3"/>
      <c r="F6" s="3"/>
      <c r="H6" t="s">
        <v>585</v>
      </c>
      <c r="I6" t="s">
        <v>604</v>
      </c>
      <c r="J6" t="s">
        <v>593</v>
      </c>
      <c r="K6" s="3">
        <v>41206</v>
      </c>
      <c r="L6" t="s">
        <v>608</v>
      </c>
    </row>
    <row r="7" spans="1:12" x14ac:dyDescent="0.3">
      <c r="E7" s="3"/>
      <c r="F7" s="3"/>
      <c r="J7" t="s">
        <v>594</v>
      </c>
      <c r="K7" s="3">
        <v>43539</v>
      </c>
      <c r="L7" t="s">
        <v>608</v>
      </c>
    </row>
    <row r="8" spans="1:12" x14ac:dyDescent="0.3">
      <c r="E8" s="3"/>
      <c r="F8" s="3"/>
      <c r="J8" t="s">
        <v>607</v>
      </c>
      <c r="K8" s="3">
        <v>45791</v>
      </c>
      <c r="L8" s="3">
        <v>46521</v>
      </c>
    </row>
    <row r="9" spans="1:12" x14ac:dyDescent="0.3">
      <c r="E9" s="3"/>
      <c r="F9" s="3"/>
      <c r="J9" t="s">
        <v>605</v>
      </c>
      <c r="K9" s="3">
        <v>45015</v>
      </c>
      <c r="L9" s="3">
        <v>45746</v>
      </c>
    </row>
    <row r="10" spans="1:12" x14ac:dyDescent="0.3">
      <c r="B10" s="6"/>
      <c r="E10" s="3"/>
      <c r="F10" s="3"/>
      <c r="J10" t="s">
        <v>606</v>
      </c>
      <c r="K10" s="3">
        <v>45784</v>
      </c>
      <c r="L10" s="3">
        <v>46514</v>
      </c>
    </row>
    <row r="11" spans="1:12" x14ac:dyDescent="0.3">
      <c r="A11" t="s">
        <v>609</v>
      </c>
      <c r="B11" s="6">
        <v>8312235029080</v>
      </c>
      <c r="C11" t="s">
        <v>612</v>
      </c>
      <c r="D11" t="s">
        <v>613</v>
      </c>
      <c r="E11" s="3">
        <v>37530</v>
      </c>
      <c r="F11" s="3"/>
      <c r="G11" t="s">
        <v>611</v>
      </c>
      <c r="H11" t="s">
        <v>581</v>
      </c>
      <c r="I11" t="s">
        <v>614</v>
      </c>
      <c r="J11" t="s">
        <v>597</v>
      </c>
    </row>
    <row r="12" spans="1:12" x14ac:dyDescent="0.3">
      <c r="A12" t="s">
        <v>615</v>
      </c>
      <c r="B12" s="6">
        <v>8306075293087</v>
      </c>
      <c r="C12" t="s">
        <v>616</v>
      </c>
      <c r="D12" t="s">
        <v>610</v>
      </c>
      <c r="E12" s="3">
        <v>37226</v>
      </c>
      <c r="F12" s="3"/>
      <c r="G12" t="s">
        <v>192</v>
      </c>
      <c r="H12" t="s">
        <v>585</v>
      </c>
      <c r="I12" t="s">
        <v>618</v>
      </c>
      <c r="J12" t="s">
        <v>619</v>
      </c>
      <c r="K12" s="3">
        <v>45062</v>
      </c>
      <c r="L12" s="3">
        <v>46158</v>
      </c>
    </row>
    <row r="13" spans="1:12" x14ac:dyDescent="0.3">
      <c r="C13" t="s">
        <v>620</v>
      </c>
      <c r="D13" t="s">
        <v>617</v>
      </c>
      <c r="E13" s="3">
        <v>37895</v>
      </c>
      <c r="F13" s="3"/>
      <c r="G13" t="s">
        <v>192</v>
      </c>
      <c r="H13" t="s">
        <v>585</v>
      </c>
      <c r="J13" t="s">
        <v>621</v>
      </c>
      <c r="K13" s="3">
        <v>45840</v>
      </c>
      <c r="L13" s="3">
        <v>46570</v>
      </c>
    </row>
    <row r="14" spans="1:12" x14ac:dyDescent="0.3">
      <c r="A14" t="s">
        <v>622</v>
      </c>
      <c r="B14" s="6">
        <v>7007275401089</v>
      </c>
      <c r="C14" t="s">
        <v>620</v>
      </c>
      <c r="D14" t="s">
        <v>623</v>
      </c>
      <c r="E14" s="3">
        <v>33604</v>
      </c>
      <c r="F14" s="3"/>
      <c r="G14" t="s">
        <v>192</v>
      </c>
      <c r="H14" t="s">
        <v>585</v>
      </c>
      <c r="I14" t="s">
        <v>624</v>
      </c>
      <c r="J14" t="s">
        <v>597</v>
      </c>
    </row>
    <row r="15" spans="1:12" x14ac:dyDescent="0.3">
      <c r="A15" t="s">
        <v>625</v>
      </c>
      <c r="B15" s="6">
        <v>6505125179087</v>
      </c>
      <c r="C15" t="s">
        <v>626</v>
      </c>
      <c r="D15" t="s">
        <v>597</v>
      </c>
      <c r="E15" s="3"/>
      <c r="F15" s="3"/>
      <c r="G15" t="s">
        <v>192</v>
      </c>
      <c r="H15" t="s">
        <v>585</v>
      </c>
      <c r="I15" t="s">
        <v>627</v>
      </c>
      <c r="J15" t="s">
        <v>597</v>
      </c>
    </row>
    <row r="16" spans="1:12" x14ac:dyDescent="0.3">
      <c r="A16" t="s">
        <v>628</v>
      </c>
      <c r="B16" s="6">
        <v>6609305298087</v>
      </c>
      <c r="C16" t="s">
        <v>629</v>
      </c>
      <c r="D16" t="s">
        <v>597</v>
      </c>
      <c r="E16" s="3"/>
      <c r="F16" s="3"/>
      <c r="G16" t="s">
        <v>192</v>
      </c>
      <c r="H16" t="s">
        <v>585</v>
      </c>
      <c r="I16" t="s">
        <v>630</v>
      </c>
      <c r="J16" t="s">
        <v>597</v>
      </c>
    </row>
    <row r="17" spans="1:12" x14ac:dyDescent="0.3">
      <c r="A17" t="s">
        <v>631</v>
      </c>
      <c r="B17" t="s">
        <v>632</v>
      </c>
      <c r="C17" t="s">
        <v>633</v>
      </c>
      <c r="D17" t="s">
        <v>634</v>
      </c>
      <c r="E17" s="3">
        <v>45498</v>
      </c>
      <c r="F17" s="3"/>
      <c r="G17" t="s">
        <v>192</v>
      </c>
      <c r="H17" t="s">
        <v>585</v>
      </c>
      <c r="I17" t="s">
        <v>635</v>
      </c>
      <c r="J17" t="s">
        <v>636</v>
      </c>
    </row>
    <row r="18" spans="1:12" x14ac:dyDescent="0.3">
      <c r="A18" t="s">
        <v>637</v>
      </c>
      <c r="B18" s="6">
        <v>7101115009085</v>
      </c>
      <c r="C18" t="s">
        <v>638</v>
      </c>
      <c r="D18" t="s">
        <v>613</v>
      </c>
      <c r="E18" s="3" t="s">
        <v>608</v>
      </c>
      <c r="F18" s="3"/>
      <c r="G18" t="s">
        <v>192</v>
      </c>
      <c r="H18" t="s">
        <v>585</v>
      </c>
      <c r="I18" t="s">
        <v>639</v>
      </c>
      <c r="J18" t="s">
        <v>640</v>
      </c>
      <c r="K18" s="3">
        <v>36771</v>
      </c>
    </row>
    <row r="19" spans="1:12" x14ac:dyDescent="0.3">
      <c r="E19" s="3"/>
      <c r="F19" s="3"/>
      <c r="J19" t="s">
        <v>641</v>
      </c>
      <c r="K19" s="3">
        <v>42328</v>
      </c>
    </row>
    <row r="20" spans="1:12" x14ac:dyDescent="0.3">
      <c r="E20" s="3"/>
      <c r="F20" s="3"/>
      <c r="J20" t="s">
        <v>642</v>
      </c>
      <c r="K20" s="3">
        <v>42249</v>
      </c>
    </row>
    <row r="21" spans="1:12" x14ac:dyDescent="0.3">
      <c r="E21" s="3"/>
      <c r="F21" s="3"/>
      <c r="J21" t="s">
        <v>643</v>
      </c>
      <c r="K21" s="3">
        <v>42248</v>
      </c>
    </row>
    <row r="22" spans="1:12" x14ac:dyDescent="0.3">
      <c r="E22" s="3"/>
      <c r="F22" s="3"/>
      <c r="J22" t="s">
        <v>644</v>
      </c>
      <c r="K22" s="3">
        <v>42250</v>
      </c>
    </row>
    <row r="23" spans="1:12" x14ac:dyDescent="0.3">
      <c r="E23" s="3"/>
      <c r="F23" s="3"/>
      <c r="J23" t="s">
        <v>594</v>
      </c>
      <c r="K23" s="3">
        <v>42078</v>
      </c>
    </row>
    <row r="24" spans="1:12" x14ac:dyDescent="0.3">
      <c r="E24" s="3"/>
      <c r="F24" s="3"/>
      <c r="J24" t="s">
        <v>645</v>
      </c>
    </row>
    <row r="25" spans="1:12" x14ac:dyDescent="0.3">
      <c r="A25" t="s">
        <v>646</v>
      </c>
      <c r="B25" s="6">
        <v>9004026380082</v>
      </c>
      <c r="C25" t="s">
        <v>647</v>
      </c>
      <c r="D25" t="s">
        <v>648</v>
      </c>
      <c r="E25" s="3">
        <v>40183</v>
      </c>
      <c r="F25" s="3"/>
      <c r="G25" t="s">
        <v>611</v>
      </c>
      <c r="H25" t="s">
        <v>581</v>
      </c>
      <c r="I25" t="s">
        <v>649</v>
      </c>
      <c r="J25" t="s">
        <v>621</v>
      </c>
      <c r="K25" s="3">
        <v>45804</v>
      </c>
      <c r="L25" s="3">
        <v>46534</v>
      </c>
    </row>
    <row r="26" spans="1:12" x14ac:dyDescent="0.3">
      <c r="E26" s="3"/>
      <c r="F26" s="3"/>
      <c r="J26" t="s">
        <v>650</v>
      </c>
      <c r="K26" s="3">
        <v>45203</v>
      </c>
      <c r="L26" t="s">
        <v>581</v>
      </c>
    </row>
    <row r="27" spans="1:12" x14ac:dyDescent="0.3">
      <c r="A27" t="s">
        <v>651</v>
      </c>
      <c r="B27" s="6">
        <v>8104220295085</v>
      </c>
      <c r="C27" t="s">
        <v>652</v>
      </c>
      <c r="D27" t="s">
        <v>653</v>
      </c>
      <c r="E27" s="3">
        <v>36374</v>
      </c>
      <c r="F27" s="3"/>
      <c r="G27" t="s">
        <v>611</v>
      </c>
      <c r="H27" t="s">
        <v>581</v>
      </c>
      <c r="J27" t="s">
        <v>619</v>
      </c>
      <c r="K27" s="3">
        <v>45062</v>
      </c>
      <c r="L27" s="3">
        <v>46158</v>
      </c>
    </row>
    <row r="28" spans="1:12" x14ac:dyDescent="0.3">
      <c r="A28" t="s">
        <v>654</v>
      </c>
      <c r="B28" s="6">
        <v>203255677080</v>
      </c>
      <c r="C28" t="s">
        <v>655</v>
      </c>
      <c r="D28" t="s">
        <v>610</v>
      </c>
      <c r="E28" s="3">
        <v>44531</v>
      </c>
      <c r="F28" s="3"/>
      <c r="G28" t="s">
        <v>611</v>
      </c>
      <c r="H28" t="s">
        <v>657</v>
      </c>
      <c r="I28" t="s">
        <v>656</v>
      </c>
    </row>
    <row r="29" spans="1:12" x14ac:dyDescent="0.3">
      <c r="A29" t="s">
        <v>658</v>
      </c>
      <c r="B29" s="6">
        <v>6903126380186</v>
      </c>
      <c r="C29" t="s">
        <v>659</v>
      </c>
      <c r="D29" t="s">
        <v>597</v>
      </c>
      <c r="E29" s="3"/>
      <c r="F29" s="3"/>
      <c r="G29" t="s">
        <v>192</v>
      </c>
      <c r="H29" t="s">
        <v>585</v>
      </c>
      <c r="I29" t="s">
        <v>660</v>
      </c>
      <c r="J29" t="s">
        <v>594</v>
      </c>
      <c r="K29" s="3">
        <v>43539</v>
      </c>
    </row>
    <row r="30" spans="1:12" x14ac:dyDescent="0.3">
      <c r="E30" s="3"/>
      <c r="F30" s="3"/>
      <c r="J30" t="s">
        <v>607</v>
      </c>
      <c r="K30" s="3">
        <v>45791</v>
      </c>
      <c r="L30" s="3">
        <v>46521</v>
      </c>
    </row>
    <row r="31" spans="1:12" x14ac:dyDescent="0.3">
      <c r="A31" t="s">
        <v>661</v>
      </c>
      <c r="B31" s="6">
        <v>8708065113086</v>
      </c>
      <c r="C31" t="s">
        <v>662</v>
      </c>
      <c r="D31" s="3" t="s">
        <v>597</v>
      </c>
      <c r="E31" s="3">
        <v>42506</v>
      </c>
      <c r="F31" s="3"/>
      <c r="G31" t="s">
        <v>611</v>
      </c>
      <c r="H31" t="s">
        <v>581</v>
      </c>
      <c r="I31" t="s">
        <v>664</v>
      </c>
      <c r="J31" t="s">
        <v>619</v>
      </c>
      <c r="K31" s="3">
        <v>45062</v>
      </c>
      <c r="L31" s="3">
        <v>46158</v>
      </c>
    </row>
    <row r="32" spans="1:12" x14ac:dyDescent="0.3">
      <c r="C32" t="s">
        <v>663</v>
      </c>
      <c r="D32" s="3"/>
      <c r="E32" s="3">
        <v>45401</v>
      </c>
      <c r="F32" s="3"/>
    </row>
    <row r="33" spans="1:12" x14ac:dyDescent="0.3">
      <c r="A33" t="s">
        <v>665</v>
      </c>
      <c r="B33" s="6">
        <v>6309085158086</v>
      </c>
      <c r="C33" t="s">
        <v>666</v>
      </c>
      <c r="D33" t="s">
        <v>597</v>
      </c>
      <c r="E33" s="3" t="s">
        <v>608</v>
      </c>
      <c r="F33" s="3"/>
      <c r="G33" t="s">
        <v>611</v>
      </c>
      <c r="H33" t="s">
        <v>581</v>
      </c>
      <c r="I33" t="s">
        <v>667</v>
      </c>
      <c r="J33" t="s">
        <v>593</v>
      </c>
      <c r="K33" s="3">
        <v>41207</v>
      </c>
    </row>
    <row r="34" spans="1:12" x14ac:dyDescent="0.3">
      <c r="A34" t="s">
        <v>668</v>
      </c>
      <c r="B34" s="6">
        <v>8212146157089</v>
      </c>
      <c r="C34" t="s">
        <v>647</v>
      </c>
      <c r="D34" t="s">
        <v>610</v>
      </c>
      <c r="E34" s="3">
        <v>37969</v>
      </c>
      <c r="F34" s="3"/>
      <c r="G34" t="s">
        <v>611</v>
      </c>
      <c r="H34" t="s">
        <v>581</v>
      </c>
      <c r="I34" t="s">
        <v>669</v>
      </c>
      <c r="J34" t="s">
        <v>670</v>
      </c>
      <c r="K34" s="3">
        <v>44742</v>
      </c>
    </row>
    <row r="35" spans="1:12" x14ac:dyDescent="0.3">
      <c r="E35" s="3"/>
      <c r="F35" s="3"/>
      <c r="J35" t="s">
        <v>671</v>
      </c>
      <c r="K35" s="3">
        <v>45208</v>
      </c>
    </row>
    <row r="36" spans="1:12" x14ac:dyDescent="0.3">
      <c r="E36" s="3"/>
      <c r="F36" s="3"/>
      <c r="J36" t="s">
        <v>672</v>
      </c>
      <c r="K36" s="3">
        <v>45086</v>
      </c>
      <c r="L36" s="3">
        <v>45817</v>
      </c>
    </row>
    <row r="37" spans="1:12" x14ac:dyDescent="0.3">
      <c r="E37" s="3"/>
      <c r="F37" s="3"/>
      <c r="J37" t="s">
        <v>673</v>
      </c>
      <c r="K37" s="3">
        <v>45523</v>
      </c>
    </row>
    <row r="38" spans="1:12" x14ac:dyDescent="0.3">
      <c r="A38" t="s">
        <v>674</v>
      </c>
      <c r="B38" s="6">
        <v>7001025506081</v>
      </c>
      <c r="C38" t="s">
        <v>675</v>
      </c>
      <c r="D38" t="s">
        <v>597</v>
      </c>
      <c r="E38" s="3" t="s">
        <v>608</v>
      </c>
      <c r="F38" s="3"/>
      <c r="G38" t="s">
        <v>611</v>
      </c>
      <c r="H38" t="s">
        <v>581</v>
      </c>
      <c r="I38" t="s">
        <v>676</v>
      </c>
      <c r="J38" t="s">
        <v>677</v>
      </c>
      <c r="K38" s="3">
        <v>44923</v>
      </c>
      <c r="L38" t="s">
        <v>598</v>
      </c>
    </row>
    <row r="39" spans="1:12" x14ac:dyDescent="0.3">
      <c r="A39" t="s">
        <v>678</v>
      </c>
      <c r="B39" s="6">
        <v>8410055831088</v>
      </c>
      <c r="C39" t="s">
        <v>679</v>
      </c>
      <c r="D39" t="s">
        <v>680</v>
      </c>
      <c r="E39" s="3">
        <v>39419</v>
      </c>
      <c r="F39" s="3"/>
      <c r="G39" t="s">
        <v>611</v>
      </c>
      <c r="H39" t="s">
        <v>598</v>
      </c>
      <c r="I39" t="s">
        <v>681</v>
      </c>
      <c r="J39" t="s">
        <v>679</v>
      </c>
      <c r="K39" s="3">
        <v>45393</v>
      </c>
      <c r="L39" t="s">
        <v>598</v>
      </c>
    </row>
    <row r="40" spans="1:12" x14ac:dyDescent="0.3">
      <c r="A40" t="s">
        <v>682</v>
      </c>
      <c r="B40" s="6">
        <v>6802255411087</v>
      </c>
      <c r="C40" t="s">
        <v>683</v>
      </c>
      <c r="D40" t="s">
        <v>613</v>
      </c>
      <c r="E40" s="3">
        <v>33208</v>
      </c>
      <c r="F40" s="3"/>
      <c r="G40" t="s">
        <v>611</v>
      </c>
      <c r="H40" t="s">
        <v>581</v>
      </c>
      <c r="I40" t="s">
        <v>684</v>
      </c>
      <c r="J40" t="s">
        <v>709</v>
      </c>
      <c r="K40" s="3">
        <v>45806</v>
      </c>
      <c r="L40" s="3">
        <v>46535</v>
      </c>
    </row>
    <row r="41" spans="1:12" x14ac:dyDescent="0.3">
      <c r="A41" t="s">
        <v>685</v>
      </c>
      <c r="B41" s="6">
        <v>6906145782084</v>
      </c>
      <c r="C41" t="s">
        <v>686</v>
      </c>
      <c r="D41" t="s">
        <v>597</v>
      </c>
      <c r="E41" s="3"/>
      <c r="F41" s="3"/>
      <c r="G41" t="s">
        <v>611</v>
      </c>
      <c r="H41" t="s">
        <v>581</v>
      </c>
      <c r="I41" t="s">
        <v>687</v>
      </c>
    </row>
    <row r="42" spans="1:12" x14ac:dyDescent="0.3">
      <c r="A42" t="s">
        <v>688</v>
      </c>
      <c r="B42" s="6">
        <v>8407056117087</v>
      </c>
      <c r="C42" t="s">
        <v>689</v>
      </c>
      <c r="D42" t="s">
        <v>597</v>
      </c>
      <c r="E42" s="3"/>
      <c r="F42" s="3"/>
      <c r="G42" t="s">
        <v>611</v>
      </c>
      <c r="H42" t="s">
        <v>581</v>
      </c>
      <c r="I42" t="s">
        <v>690</v>
      </c>
    </row>
    <row r="43" spans="1:12" x14ac:dyDescent="0.3">
      <c r="A43" t="s">
        <v>691</v>
      </c>
      <c r="B43" s="6">
        <v>9806255157084</v>
      </c>
      <c r="C43" t="s">
        <v>692</v>
      </c>
      <c r="D43" t="s">
        <v>693</v>
      </c>
      <c r="E43" s="3">
        <v>41983</v>
      </c>
      <c r="F43" s="3"/>
      <c r="G43" t="s">
        <v>611</v>
      </c>
      <c r="H43" t="s">
        <v>581</v>
      </c>
      <c r="I43" t="s">
        <v>694</v>
      </c>
      <c r="J43" t="s">
        <v>670</v>
      </c>
    </row>
    <row r="44" spans="1:12" x14ac:dyDescent="0.3">
      <c r="E44" s="3"/>
      <c r="F44" s="3"/>
      <c r="J44" t="s">
        <v>695</v>
      </c>
      <c r="K44" s="3">
        <v>45791</v>
      </c>
      <c r="L44" s="3">
        <v>46521</v>
      </c>
    </row>
    <row r="45" spans="1:12" x14ac:dyDescent="0.3">
      <c r="E45" s="3"/>
      <c r="F45" s="3"/>
      <c r="J45" t="s">
        <v>696</v>
      </c>
      <c r="K45" s="3">
        <v>45784</v>
      </c>
      <c r="L45" s="3">
        <v>46514</v>
      </c>
    </row>
    <row r="46" spans="1:12" x14ac:dyDescent="0.3">
      <c r="E46" s="3"/>
      <c r="F46" s="3"/>
      <c r="J46" t="s">
        <v>697</v>
      </c>
      <c r="K46" s="3">
        <v>45790</v>
      </c>
      <c r="L46" s="3">
        <v>46519</v>
      </c>
    </row>
    <row r="47" spans="1:12" x14ac:dyDescent="0.3">
      <c r="A47" t="s">
        <v>698</v>
      </c>
      <c r="B47" s="6">
        <v>7812245342085</v>
      </c>
      <c r="C47" t="s">
        <v>686</v>
      </c>
      <c r="D47" t="s">
        <v>597</v>
      </c>
      <c r="E47" s="3"/>
      <c r="F47" s="3"/>
      <c r="G47" t="s">
        <v>611</v>
      </c>
      <c r="H47" t="s">
        <v>581</v>
      </c>
      <c r="I47" t="s">
        <v>699</v>
      </c>
    </row>
    <row r="48" spans="1:12" x14ac:dyDescent="0.3">
      <c r="A48" t="s">
        <v>737</v>
      </c>
      <c r="B48" s="6">
        <v>9210185637085</v>
      </c>
      <c r="C48" t="s">
        <v>701</v>
      </c>
      <c r="D48" t="s">
        <v>613</v>
      </c>
      <c r="E48" s="3">
        <v>41244</v>
      </c>
      <c r="F48" s="3"/>
      <c r="G48" t="s">
        <v>611</v>
      </c>
      <c r="H48" t="s">
        <v>581</v>
      </c>
      <c r="I48" t="s">
        <v>702</v>
      </c>
      <c r="J48" t="s">
        <v>703</v>
      </c>
      <c r="K48" s="3">
        <v>44742</v>
      </c>
    </row>
    <row r="49" spans="1:12" x14ac:dyDescent="0.3">
      <c r="E49" s="3"/>
      <c r="F49" s="3"/>
      <c r="J49" t="s">
        <v>704</v>
      </c>
      <c r="K49" s="3">
        <v>45840</v>
      </c>
      <c r="L49" s="3">
        <v>46570</v>
      </c>
    </row>
    <row r="50" spans="1:12" x14ac:dyDescent="0.3">
      <c r="E50" s="3"/>
      <c r="F50" s="3"/>
      <c r="J50" t="s">
        <v>705</v>
      </c>
      <c r="K50" s="3">
        <v>45790</v>
      </c>
      <c r="L50" s="3">
        <v>46519</v>
      </c>
    </row>
    <row r="51" spans="1:12" x14ac:dyDescent="0.3">
      <c r="E51" s="3"/>
      <c r="F51" s="3"/>
      <c r="J51" t="s">
        <v>695</v>
      </c>
      <c r="K51" s="3">
        <v>45791</v>
      </c>
      <c r="L51" s="3">
        <v>46521</v>
      </c>
    </row>
    <row r="52" spans="1:12" x14ac:dyDescent="0.3">
      <c r="A52" t="s">
        <v>706</v>
      </c>
      <c r="B52" s="6">
        <v>7809205384081</v>
      </c>
      <c r="C52" t="s">
        <v>707</v>
      </c>
      <c r="D52" t="s">
        <v>613</v>
      </c>
      <c r="E52" s="3">
        <v>32843</v>
      </c>
      <c r="F52" s="3"/>
      <c r="G52" t="s">
        <v>611</v>
      </c>
      <c r="H52" t="s">
        <v>581</v>
      </c>
      <c r="I52" t="s">
        <v>708</v>
      </c>
    </row>
    <row r="53" spans="1:12" x14ac:dyDescent="0.3">
      <c r="A53" t="s">
        <v>710</v>
      </c>
      <c r="B53" s="6">
        <v>7501100775089</v>
      </c>
      <c r="C53" t="s">
        <v>711</v>
      </c>
      <c r="D53" t="s">
        <v>597</v>
      </c>
      <c r="E53" s="3"/>
      <c r="F53" s="3"/>
      <c r="G53" t="s">
        <v>611</v>
      </c>
      <c r="H53" t="s">
        <v>581</v>
      </c>
      <c r="I53" t="s">
        <v>712</v>
      </c>
    </row>
    <row r="54" spans="1:12" x14ac:dyDescent="0.3">
      <c r="A54" t="s">
        <v>713</v>
      </c>
      <c r="B54" s="6">
        <v>7104255923081</v>
      </c>
      <c r="C54" t="s">
        <v>714</v>
      </c>
      <c r="D54" t="s">
        <v>597</v>
      </c>
      <c r="E54" s="3"/>
      <c r="F54" s="3"/>
      <c r="G54" t="s">
        <v>611</v>
      </c>
      <c r="H54" t="s">
        <v>581</v>
      </c>
      <c r="I54" t="s">
        <v>715</v>
      </c>
    </row>
    <row r="55" spans="1:12" x14ac:dyDescent="0.3">
      <c r="A55" t="s">
        <v>716</v>
      </c>
      <c r="B55" s="6">
        <v>9110205953084</v>
      </c>
      <c r="C55" t="s">
        <v>655</v>
      </c>
      <c r="D55" t="s">
        <v>613</v>
      </c>
      <c r="E55" s="3">
        <v>40513</v>
      </c>
      <c r="F55" s="3"/>
      <c r="G55" t="s">
        <v>611</v>
      </c>
      <c r="H55" t="s">
        <v>581</v>
      </c>
      <c r="I55" t="s">
        <v>717</v>
      </c>
      <c r="J55" t="s">
        <v>695</v>
      </c>
      <c r="K55" s="3">
        <v>45798</v>
      </c>
      <c r="L55" s="3">
        <v>46528</v>
      </c>
    </row>
    <row r="56" spans="1:12" x14ac:dyDescent="0.3">
      <c r="A56" t="s">
        <v>718</v>
      </c>
      <c r="B56" s="6">
        <v>7303065896087</v>
      </c>
      <c r="C56" t="s">
        <v>719</v>
      </c>
      <c r="D56" t="s">
        <v>653</v>
      </c>
      <c r="E56" s="3">
        <v>34304</v>
      </c>
      <c r="F56" s="3"/>
      <c r="G56" t="s">
        <v>611</v>
      </c>
      <c r="H56" t="s">
        <v>581</v>
      </c>
      <c r="I56" t="s">
        <v>720</v>
      </c>
      <c r="J56" t="s">
        <v>695</v>
      </c>
      <c r="K56" s="3">
        <v>45791</v>
      </c>
      <c r="L56" s="3">
        <v>46521</v>
      </c>
    </row>
    <row r="57" spans="1:12" x14ac:dyDescent="0.3">
      <c r="B57" s="6"/>
      <c r="E57" s="3"/>
      <c r="F57" s="3"/>
      <c r="J57" t="s">
        <v>721</v>
      </c>
      <c r="K57" s="3">
        <v>45393</v>
      </c>
    </row>
    <row r="58" spans="1:12" x14ac:dyDescent="0.3">
      <c r="A58" t="s">
        <v>722</v>
      </c>
      <c r="B58" s="6">
        <v>7608286009082</v>
      </c>
      <c r="C58" t="s">
        <v>723</v>
      </c>
      <c r="D58" t="s">
        <v>613</v>
      </c>
      <c r="E58" s="3">
        <v>35400</v>
      </c>
      <c r="F58" s="3"/>
      <c r="G58" t="s">
        <v>611</v>
      </c>
      <c r="H58" t="s">
        <v>581</v>
      </c>
      <c r="I58" t="s">
        <v>724</v>
      </c>
      <c r="J58" t="s">
        <v>725</v>
      </c>
      <c r="K58" s="3">
        <v>39118</v>
      </c>
    </row>
    <row r="59" spans="1:12" x14ac:dyDescent="0.3">
      <c r="E59" s="3"/>
      <c r="F59" s="3"/>
      <c r="J59" t="s">
        <v>726</v>
      </c>
      <c r="K59" s="3">
        <v>39125</v>
      </c>
    </row>
    <row r="60" spans="1:12" x14ac:dyDescent="0.3">
      <c r="E60" s="3"/>
      <c r="F60" s="3"/>
      <c r="J60" t="s">
        <v>727</v>
      </c>
      <c r="K60" s="3">
        <v>39132</v>
      </c>
    </row>
    <row r="61" spans="1:12" x14ac:dyDescent="0.3">
      <c r="E61" s="3"/>
      <c r="F61" s="3"/>
      <c r="J61" t="s">
        <v>728</v>
      </c>
      <c r="K61" s="3">
        <v>39279</v>
      </c>
    </row>
    <row r="62" spans="1:12" x14ac:dyDescent="0.3">
      <c r="J62" t="s">
        <v>729</v>
      </c>
      <c r="K62" s="3">
        <v>39279</v>
      </c>
    </row>
    <row r="63" spans="1:12" x14ac:dyDescent="0.3">
      <c r="A63" t="s">
        <v>730</v>
      </c>
      <c r="B63" s="6">
        <v>7810035478085</v>
      </c>
      <c r="C63" t="s">
        <v>731</v>
      </c>
      <c r="D63" t="s">
        <v>732</v>
      </c>
      <c r="E63" s="3">
        <v>35765</v>
      </c>
      <c r="G63" t="s">
        <v>611</v>
      </c>
      <c r="H63" t="s">
        <v>581</v>
      </c>
      <c r="I63" t="s">
        <v>733</v>
      </c>
      <c r="J63" t="s">
        <v>704</v>
      </c>
      <c r="K63" s="3">
        <v>45033</v>
      </c>
      <c r="L63" s="3">
        <v>45764</v>
      </c>
    </row>
    <row r="64" spans="1:12" x14ac:dyDescent="0.3">
      <c r="A64" t="s">
        <v>734</v>
      </c>
      <c r="B64" s="6">
        <v>7401230402086</v>
      </c>
      <c r="C64" t="s">
        <v>711</v>
      </c>
      <c r="D64" t="s">
        <v>597</v>
      </c>
      <c r="G64" t="s">
        <v>611</v>
      </c>
      <c r="H64" t="s">
        <v>581</v>
      </c>
      <c r="I64" t="s">
        <v>735</v>
      </c>
      <c r="J64" t="s">
        <v>736</v>
      </c>
      <c r="K64" s="3">
        <v>45062</v>
      </c>
      <c r="L64" s="3">
        <v>46158</v>
      </c>
    </row>
    <row r="65" spans="1:12" x14ac:dyDescent="0.3">
      <c r="A65" t="s">
        <v>700</v>
      </c>
      <c r="B65" s="6">
        <v>7603305346086</v>
      </c>
      <c r="C65" t="s">
        <v>738</v>
      </c>
      <c r="D65" t="s">
        <v>613</v>
      </c>
      <c r="E65" s="3">
        <v>36130</v>
      </c>
      <c r="G65" t="s">
        <v>611</v>
      </c>
      <c r="H65" t="s">
        <v>581</v>
      </c>
      <c r="I65" t="s">
        <v>739</v>
      </c>
      <c r="J65" t="s">
        <v>704</v>
      </c>
      <c r="K65" s="3">
        <v>45840</v>
      </c>
      <c r="L65" s="3">
        <v>46570</v>
      </c>
    </row>
    <row r="66" spans="1:12" x14ac:dyDescent="0.3">
      <c r="A66" t="s">
        <v>740</v>
      </c>
      <c r="B66" s="6">
        <v>7208015733084</v>
      </c>
      <c r="C66" t="s">
        <v>741</v>
      </c>
      <c r="D66" t="s">
        <v>597</v>
      </c>
      <c r="G66" t="s">
        <v>611</v>
      </c>
      <c r="H66" t="s">
        <v>581</v>
      </c>
      <c r="I66" t="s">
        <v>742</v>
      </c>
    </row>
    <row r="67" spans="1:12" x14ac:dyDescent="0.3">
      <c r="A67" t="s">
        <v>743</v>
      </c>
      <c r="B67" s="6">
        <v>8009035172082</v>
      </c>
      <c r="C67" t="s">
        <v>744</v>
      </c>
      <c r="D67" t="s">
        <v>613</v>
      </c>
      <c r="E67" s="3">
        <v>37956</v>
      </c>
      <c r="G67" t="s">
        <v>611</v>
      </c>
      <c r="H67" t="s">
        <v>581</v>
      </c>
      <c r="I67" t="s">
        <v>745</v>
      </c>
      <c r="J67" t="s">
        <v>746</v>
      </c>
      <c r="K67" s="3">
        <v>42023</v>
      </c>
    </row>
    <row r="68" spans="1:12" x14ac:dyDescent="0.3">
      <c r="A68" t="s">
        <v>747</v>
      </c>
      <c r="B68" s="6">
        <v>7509165613087</v>
      </c>
      <c r="C68" t="s">
        <v>748</v>
      </c>
      <c r="D68" t="s">
        <v>732</v>
      </c>
      <c r="E68" s="3">
        <v>34304</v>
      </c>
      <c r="G68" t="s">
        <v>611</v>
      </c>
      <c r="H68" t="s">
        <v>581</v>
      </c>
      <c r="I68" t="s">
        <v>749</v>
      </c>
      <c r="J68" t="s">
        <v>655</v>
      </c>
      <c r="K68" s="3">
        <v>44742</v>
      </c>
    </row>
    <row r="69" spans="1:12" x14ac:dyDescent="0.3">
      <c r="J69" t="s">
        <v>750</v>
      </c>
      <c r="K69" s="3">
        <v>45791</v>
      </c>
      <c r="L69" s="3">
        <v>46521</v>
      </c>
    </row>
    <row r="70" spans="1:12" x14ac:dyDescent="0.3">
      <c r="J70" t="s">
        <v>696</v>
      </c>
      <c r="K70" s="3">
        <v>45784</v>
      </c>
      <c r="L70" s="3">
        <v>46514</v>
      </c>
    </row>
    <row r="71" spans="1:12" x14ac:dyDescent="0.3">
      <c r="J71" t="s">
        <v>697</v>
      </c>
      <c r="K71" s="3">
        <v>45790</v>
      </c>
      <c r="L71" s="3">
        <v>46519</v>
      </c>
    </row>
    <row r="72" spans="1:12" x14ac:dyDescent="0.3">
      <c r="A72" t="s">
        <v>751</v>
      </c>
      <c r="B72" s="6">
        <v>8802075252081</v>
      </c>
      <c r="C72" t="s">
        <v>752</v>
      </c>
      <c r="D72" s="3" t="s">
        <v>613</v>
      </c>
      <c r="E72" s="3">
        <v>39417</v>
      </c>
      <c r="G72" t="s">
        <v>611</v>
      </c>
      <c r="H72" t="s">
        <v>581</v>
      </c>
      <c r="I72" t="s">
        <v>753</v>
      </c>
      <c r="J72" t="s">
        <v>736</v>
      </c>
      <c r="K72" s="3">
        <v>45062</v>
      </c>
      <c r="L72" s="3">
        <v>46149</v>
      </c>
    </row>
    <row r="73" spans="1:12" x14ac:dyDescent="0.3">
      <c r="A73" t="s">
        <v>754</v>
      </c>
      <c r="B73" s="6">
        <v>7708305593080</v>
      </c>
      <c r="C73" t="s">
        <v>744</v>
      </c>
      <c r="D73" t="s">
        <v>597</v>
      </c>
      <c r="G73" t="s">
        <v>611</v>
      </c>
      <c r="H73" t="s">
        <v>581</v>
      </c>
      <c r="I73" t="s">
        <v>755</v>
      </c>
      <c r="J73" t="s">
        <v>756</v>
      </c>
      <c r="K73" s="3">
        <v>38267</v>
      </c>
    </row>
    <row r="74" spans="1:12" x14ac:dyDescent="0.3">
      <c r="A74" t="s">
        <v>757</v>
      </c>
      <c r="B74" s="6">
        <v>8910296023080</v>
      </c>
      <c r="C74" t="s">
        <v>626</v>
      </c>
      <c r="D74" t="s">
        <v>758</v>
      </c>
      <c r="E74" s="3">
        <v>37162</v>
      </c>
      <c r="G74" t="s">
        <v>611</v>
      </c>
      <c r="H74" t="s">
        <v>581</v>
      </c>
      <c r="I74" t="s">
        <v>759</v>
      </c>
      <c r="J74" t="s">
        <v>655</v>
      </c>
      <c r="K74" s="3">
        <v>44915</v>
      </c>
    </row>
    <row r="75" spans="1:12" x14ac:dyDescent="0.3">
      <c r="A75" t="s">
        <v>760</v>
      </c>
      <c r="B75" s="6">
        <v>6804045604088</v>
      </c>
      <c r="C75" t="s">
        <v>707</v>
      </c>
      <c r="D75" t="s">
        <v>597</v>
      </c>
      <c r="G75" t="s">
        <v>611</v>
      </c>
      <c r="H75" t="s">
        <v>581</v>
      </c>
      <c r="I75" t="s">
        <v>761</v>
      </c>
    </row>
    <row r="76" spans="1:12" x14ac:dyDescent="0.3">
      <c r="A76" t="s">
        <v>762</v>
      </c>
      <c r="B76" s="6">
        <v>7105055460083</v>
      </c>
      <c r="C76" t="s">
        <v>763</v>
      </c>
      <c r="D76" t="s">
        <v>597</v>
      </c>
      <c r="G76" t="s">
        <v>611</v>
      </c>
      <c r="H76" t="s">
        <v>581</v>
      </c>
      <c r="I76" t="s">
        <v>764</v>
      </c>
    </row>
    <row r="77" spans="1:12" x14ac:dyDescent="0.3">
      <c r="A77" t="s">
        <v>765</v>
      </c>
      <c r="B77" s="6">
        <v>8504065205083</v>
      </c>
      <c r="C77" t="s">
        <v>744</v>
      </c>
      <c r="D77" t="s">
        <v>597</v>
      </c>
      <c r="G77" t="s">
        <v>611</v>
      </c>
      <c r="H77" t="s">
        <v>581</v>
      </c>
      <c r="I77" t="s">
        <v>766</v>
      </c>
    </row>
    <row r="78" spans="1:12" x14ac:dyDescent="0.3">
      <c r="A78" t="s">
        <v>767</v>
      </c>
      <c r="B78" s="6">
        <v>7505075226083</v>
      </c>
      <c r="C78" t="s">
        <v>768</v>
      </c>
      <c r="D78" t="s">
        <v>597</v>
      </c>
      <c r="G78" t="s">
        <v>611</v>
      </c>
      <c r="H78" t="s">
        <v>581</v>
      </c>
      <c r="I78" t="s">
        <v>769</v>
      </c>
    </row>
    <row r="79" spans="1:12" x14ac:dyDescent="0.3">
      <c r="A79" t="s">
        <v>770</v>
      </c>
      <c r="B79" s="6">
        <v>8903136329080</v>
      </c>
      <c r="C79" t="s">
        <v>738</v>
      </c>
      <c r="D79" t="s">
        <v>653</v>
      </c>
      <c r="E79" s="3">
        <v>39783</v>
      </c>
      <c r="G79" t="s">
        <v>611</v>
      </c>
      <c r="H79" t="s">
        <v>581</v>
      </c>
      <c r="I79" t="s">
        <v>771</v>
      </c>
      <c r="J79" t="s">
        <v>696</v>
      </c>
      <c r="K79" s="3">
        <v>45002</v>
      </c>
      <c r="L79" s="3">
        <v>45764</v>
      </c>
    </row>
    <row r="80" spans="1:12" x14ac:dyDescent="0.3">
      <c r="J80" t="s">
        <v>704</v>
      </c>
      <c r="K80" s="3">
        <v>45804</v>
      </c>
      <c r="L80" s="3">
        <v>46534</v>
      </c>
    </row>
    <row r="81" spans="1:13" x14ac:dyDescent="0.3">
      <c r="A81" t="s">
        <v>772</v>
      </c>
      <c r="B81" s="6">
        <v>7806067278088</v>
      </c>
      <c r="C81" t="s">
        <v>626</v>
      </c>
      <c r="D81" t="s">
        <v>653</v>
      </c>
      <c r="E81" s="3">
        <v>36130</v>
      </c>
      <c r="G81" t="s">
        <v>611</v>
      </c>
      <c r="H81" t="s">
        <v>581</v>
      </c>
      <c r="I81" t="s">
        <v>773</v>
      </c>
    </row>
    <row r="82" spans="1:13" x14ac:dyDescent="0.3">
      <c r="A82" t="s">
        <v>774</v>
      </c>
      <c r="B82" s="6">
        <v>6104095061085</v>
      </c>
      <c r="C82" t="s">
        <v>775</v>
      </c>
      <c r="G82" t="s">
        <v>611</v>
      </c>
      <c r="H82" t="s">
        <v>581</v>
      </c>
      <c r="J82" t="s">
        <v>594</v>
      </c>
      <c r="K82" s="3">
        <v>43539</v>
      </c>
    </row>
    <row r="83" spans="1:13" x14ac:dyDescent="0.3">
      <c r="A83" t="s">
        <v>776</v>
      </c>
      <c r="B83" s="6">
        <v>8606205096080</v>
      </c>
      <c r="C83" t="s">
        <v>659</v>
      </c>
      <c r="D83" t="s">
        <v>613</v>
      </c>
      <c r="E83" s="3">
        <v>38322</v>
      </c>
      <c r="G83" t="s">
        <v>611</v>
      </c>
      <c r="H83" t="s">
        <v>581</v>
      </c>
      <c r="I83" t="s">
        <v>777</v>
      </c>
      <c r="J83" t="s">
        <v>696</v>
      </c>
      <c r="K83" s="3">
        <v>45784</v>
      </c>
      <c r="L83" s="3">
        <v>46514</v>
      </c>
    </row>
    <row r="84" spans="1:13" x14ac:dyDescent="0.3">
      <c r="J84" t="s">
        <v>695</v>
      </c>
      <c r="K84" s="3">
        <v>45791</v>
      </c>
      <c r="L84" s="3">
        <v>46521</v>
      </c>
    </row>
    <row r="85" spans="1:13" x14ac:dyDescent="0.3">
      <c r="J85" t="s">
        <v>704</v>
      </c>
      <c r="K85" s="3">
        <v>45804</v>
      </c>
      <c r="L85" s="3">
        <v>46534</v>
      </c>
    </row>
    <row r="86" spans="1:13" x14ac:dyDescent="0.3">
      <c r="J86" t="s">
        <v>778</v>
      </c>
      <c r="K86" s="3">
        <v>45790</v>
      </c>
      <c r="L86" s="3">
        <v>46519</v>
      </c>
    </row>
    <row r="87" spans="1:13" x14ac:dyDescent="0.3">
      <c r="A87" t="s">
        <v>779</v>
      </c>
      <c r="B87" s="6">
        <v>8404105896084</v>
      </c>
      <c r="C87" t="s">
        <v>719</v>
      </c>
      <c r="D87" t="s">
        <v>613</v>
      </c>
      <c r="E87" s="3">
        <v>38687</v>
      </c>
      <c r="G87" t="s">
        <v>611</v>
      </c>
      <c r="H87" t="s">
        <v>581</v>
      </c>
      <c r="I87" t="s">
        <v>780</v>
      </c>
      <c r="J87" t="s">
        <v>704</v>
      </c>
      <c r="K87" s="3">
        <v>45840</v>
      </c>
      <c r="L87" s="3">
        <v>46570</v>
      </c>
    </row>
    <row r="88" spans="1:13" x14ac:dyDescent="0.3">
      <c r="J88" t="s">
        <v>781</v>
      </c>
      <c r="K88" s="3">
        <v>45267</v>
      </c>
      <c r="L88" s="3">
        <v>45450</v>
      </c>
    </row>
    <row r="89" spans="1:13" x14ac:dyDescent="0.3">
      <c r="A89" t="s">
        <v>782</v>
      </c>
      <c r="B89" s="6">
        <v>8002116064088</v>
      </c>
      <c r="C89" t="s">
        <v>748</v>
      </c>
      <c r="D89" t="s">
        <v>653</v>
      </c>
      <c r="E89" s="3">
        <v>39052</v>
      </c>
      <c r="G89" t="s">
        <v>611</v>
      </c>
      <c r="H89" t="s">
        <v>581</v>
      </c>
      <c r="I89" t="s">
        <v>783</v>
      </c>
      <c r="J89" t="s">
        <v>784</v>
      </c>
      <c r="K89" s="3">
        <v>45791</v>
      </c>
      <c r="L89" s="3">
        <v>46521</v>
      </c>
    </row>
    <row r="90" spans="1:13" x14ac:dyDescent="0.3">
      <c r="J90" t="s">
        <v>778</v>
      </c>
      <c r="K90" s="3">
        <v>45780</v>
      </c>
      <c r="L90" s="3">
        <v>46519</v>
      </c>
      <c r="M90" s="7"/>
    </row>
    <row r="91" spans="1:13" x14ac:dyDescent="0.3">
      <c r="A91" t="s">
        <v>785</v>
      </c>
      <c r="B91" s="6">
        <v>6304125462085</v>
      </c>
      <c r="C91" t="s">
        <v>659</v>
      </c>
      <c r="D91" t="s">
        <v>597</v>
      </c>
      <c r="G91" t="s">
        <v>611</v>
      </c>
      <c r="H91" t="s">
        <v>581</v>
      </c>
      <c r="I91" t="s">
        <v>786</v>
      </c>
    </row>
    <row r="92" spans="1:13" x14ac:dyDescent="0.3">
      <c r="A92" t="s">
        <v>787</v>
      </c>
      <c r="B92" s="6">
        <v>5902010284089</v>
      </c>
      <c r="C92" t="s">
        <v>711</v>
      </c>
      <c r="D92" t="s">
        <v>597</v>
      </c>
      <c r="G92" t="s">
        <v>611</v>
      </c>
      <c r="H92" t="s">
        <v>581</v>
      </c>
      <c r="I92" t="s">
        <v>788</v>
      </c>
    </row>
    <row r="93" spans="1:13" x14ac:dyDescent="0.3">
      <c r="A93" t="s">
        <v>789</v>
      </c>
      <c r="B93" s="6">
        <v>6010295016086</v>
      </c>
      <c r="C93" t="s">
        <v>790</v>
      </c>
      <c r="D93" t="s">
        <v>597</v>
      </c>
      <c r="G93" t="s">
        <v>611</v>
      </c>
      <c r="H93" t="s">
        <v>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selection activeCell="H2" sqref="H2"/>
    </sheetView>
  </sheetViews>
  <sheetFormatPr defaultRowHeight="14.4" x14ac:dyDescent="0.3"/>
  <cols>
    <col min="1" max="1" width="20.77734375" customWidth="1"/>
    <col min="2" max="2" width="29.33203125" customWidth="1"/>
    <col min="3" max="3" width="11.77734375" customWidth="1"/>
    <col min="4" max="4" width="8.88671875" style="5"/>
    <col min="5" max="5" width="21.77734375" customWidth="1"/>
    <col min="6" max="7" width="10.44140625" bestFit="1" customWidth="1"/>
  </cols>
  <sheetData>
    <row r="1" spans="1:8" x14ac:dyDescent="0.3">
      <c r="A1" t="s">
        <v>194</v>
      </c>
      <c r="B1" t="s">
        <v>195</v>
      </c>
      <c r="C1" t="s">
        <v>196</v>
      </c>
      <c r="D1" s="5" t="s">
        <v>197</v>
      </c>
      <c r="E1" t="s">
        <v>198</v>
      </c>
      <c r="F1" t="s">
        <v>199</v>
      </c>
      <c r="G1" t="s">
        <v>182</v>
      </c>
      <c r="H1" t="s">
        <v>21</v>
      </c>
    </row>
    <row r="2" spans="1:8" x14ac:dyDescent="0.3">
      <c r="A2" t="s">
        <v>399</v>
      </c>
      <c r="B2" t="s">
        <v>400</v>
      </c>
      <c r="C2" t="s">
        <v>401</v>
      </c>
      <c r="E2" t="s">
        <v>402</v>
      </c>
      <c r="F2" s="3">
        <v>46030.767464467594</v>
      </c>
      <c r="G2" s="3">
        <v>46395.767464467594</v>
      </c>
      <c r="H2" t="s">
        <v>186</v>
      </c>
    </row>
    <row r="3" spans="1:8" x14ac:dyDescent="0.3">
      <c r="F3" s="3"/>
      <c r="G3" s="3"/>
    </row>
    <row r="4" spans="1:8" x14ac:dyDescent="0.3">
      <c r="F4" s="3"/>
      <c r="G4" s="3"/>
    </row>
    <row r="5" spans="1:8" x14ac:dyDescent="0.3">
      <c r="F5" s="3"/>
      <c r="G5" s="3"/>
    </row>
    <row r="6" spans="1:8" x14ac:dyDescent="0.3">
      <c r="F6" s="3"/>
      <c r="G6" s="3"/>
    </row>
    <row r="7" spans="1:8" x14ac:dyDescent="0.3">
      <c r="F7" s="3"/>
      <c r="G7" s="3"/>
    </row>
    <row r="8" spans="1:8" x14ac:dyDescent="0.3">
      <c r="F8" s="3"/>
      <c r="G8" s="3"/>
    </row>
    <row r="9" spans="1:8" x14ac:dyDescent="0.3">
      <c r="F9" s="3"/>
      <c r="G9" s="3"/>
    </row>
    <row r="10" spans="1:8" x14ac:dyDescent="0.3">
      <c r="F10" s="3"/>
      <c r="G10" s="3"/>
    </row>
    <row r="11" spans="1:8" x14ac:dyDescent="0.3">
      <c r="F11" s="3"/>
      <c r="G11" s="3"/>
    </row>
    <row r="12" spans="1:8" x14ac:dyDescent="0.3">
      <c r="F12" s="3"/>
      <c r="G12" s="3"/>
    </row>
    <row r="13" spans="1:8" x14ac:dyDescent="0.3">
      <c r="F13" s="3"/>
      <c r="G13" s="3"/>
    </row>
    <row r="14" spans="1:8" x14ac:dyDescent="0.3">
      <c r="F14" s="3"/>
      <c r="G14" s="3"/>
    </row>
    <row r="15" spans="1:8" x14ac:dyDescent="0.3">
      <c r="F15" s="3"/>
      <c r="G15" s="3"/>
    </row>
    <row r="16" spans="1:8" x14ac:dyDescent="0.3">
      <c r="F16" s="3"/>
      <c r="G16" s="3"/>
    </row>
    <row r="17" spans="6:7" x14ac:dyDescent="0.3">
      <c r="F17" s="3"/>
      <c r="G17" s="3"/>
    </row>
    <row r="18" spans="6:7" x14ac:dyDescent="0.3">
      <c r="F18" s="3"/>
      <c r="G18" s="3"/>
    </row>
    <row r="19" spans="6:7" x14ac:dyDescent="0.3">
      <c r="F19" s="3"/>
      <c r="G19" s="3"/>
    </row>
    <row r="20" spans="6:7" x14ac:dyDescent="0.3">
      <c r="F20" s="3"/>
      <c r="G20" s="3"/>
    </row>
    <row r="21" spans="6:7" x14ac:dyDescent="0.3">
      <c r="F21" s="3"/>
      <c r="G21" s="3"/>
    </row>
    <row r="22" spans="6:7" x14ac:dyDescent="0.3">
      <c r="F22" s="3"/>
      <c r="G22" s="3"/>
    </row>
    <row r="23" spans="6:7" x14ac:dyDescent="0.3">
      <c r="F23" s="3"/>
      <c r="G23" s="3"/>
    </row>
    <row r="24" spans="6:7" x14ac:dyDescent="0.3">
      <c r="F24" s="3"/>
      <c r="G24" s="3"/>
    </row>
    <row r="25" spans="6:7" x14ac:dyDescent="0.3">
      <c r="F25" s="3"/>
      <c r="G25" s="3"/>
    </row>
    <row r="26" spans="6:7" x14ac:dyDescent="0.3">
      <c r="F26" s="3"/>
      <c r="G26" s="3"/>
    </row>
    <row r="27" spans="6:7" x14ac:dyDescent="0.3">
      <c r="F27" s="3"/>
      <c r="G27" s="3"/>
    </row>
    <row r="28" spans="6:7" x14ac:dyDescent="0.3">
      <c r="F28" s="3"/>
      <c r="G28" s="3"/>
    </row>
    <row r="29" spans="6:7" x14ac:dyDescent="0.3">
      <c r="F29" s="3"/>
      <c r="G29" s="3"/>
    </row>
    <row r="30" spans="6:7" x14ac:dyDescent="0.3">
      <c r="F30" s="3"/>
      <c r="G30" s="3"/>
    </row>
    <row r="31" spans="6:7" x14ac:dyDescent="0.3">
      <c r="F31" s="3"/>
      <c r="G31" s="3"/>
    </row>
    <row r="32" spans="6:7" x14ac:dyDescent="0.3">
      <c r="F32" s="3"/>
      <c r="G32" s="3"/>
    </row>
    <row r="33" spans="6:7" x14ac:dyDescent="0.3">
      <c r="F33" s="3"/>
      <c r="G33" s="3"/>
    </row>
    <row r="34" spans="6:7" x14ac:dyDescent="0.3">
      <c r="F34" s="3"/>
      <c r="G34" s="3"/>
    </row>
    <row r="35" spans="6:7" x14ac:dyDescent="0.3">
      <c r="F35" s="3"/>
      <c r="G35" s="3"/>
    </row>
    <row r="36" spans="6:7" x14ac:dyDescent="0.3">
      <c r="F36" s="3"/>
      <c r="G36" s="3"/>
    </row>
    <row r="37" spans="6:7" x14ac:dyDescent="0.3">
      <c r="F37" s="3"/>
      <c r="G37" s="3"/>
    </row>
    <row r="38" spans="6:7" x14ac:dyDescent="0.3">
      <c r="F38" s="3"/>
      <c r="G38" s="3"/>
    </row>
    <row r="39" spans="6:7" x14ac:dyDescent="0.3">
      <c r="F39" s="3"/>
      <c r="G39" s="3"/>
    </row>
    <row r="40" spans="6:7" x14ac:dyDescent="0.3">
      <c r="F40" s="3"/>
      <c r="G40" s="3"/>
    </row>
    <row r="41" spans="6:7" x14ac:dyDescent="0.3">
      <c r="F41" s="3"/>
      <c r="G4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D7"/>
  <sheetViews>
    <sheetView workbookViewId="0">
      <selection activeCell="B12" sqref="B12"/>
    </sheetView>
  </sheetViews>
  <sheetFormatPr defaultRowHeight="14.4" x14ac:dyDescent="0.3"/>
  <cols>
    <col min="1" max="1" width="34.77734375" customWidth="1"/>
    <col min="2" max="2" width="24.21875" customWidth="1"/>
    <col min="3" max="3" width="27.109375" customWidth="1"/>
    <col min="4" max="4" width="19.109375" customWidth="1"/>
  </cols>
  <sheetData>
    <row r="1" spans="1:4" x14ac:dyDescent="0.3">
      <c r="A1" t="s">
        <v>200</v>
      </c>
      <c r="B1" t="s">
        <v>201</v>
      </c>
      <c r="C1" t="s">
        <v>202</v>
      </c>
      <c r="D1" t="s">
        <v>203</v>
      </c>
    </row>
    <row r="2" spans="1:4" x14ac:dyDescent="0.3">
      <c r="A2" t="s">
        <v>204</v>
      </c>
      <c r="B2" t="s">
        <v>210</v>
      </c>
      <c r="C2" t="s">
        <v>216</v>
      </c>
    </row>
    <row r="3" spans="1:4" x14ac:dyDescent="0.3">
      <c r="A3" t="s">
        <v>205</v>
      </c>
      <c r="B3" t="s">
        <v>211</v>
      </c>
      <c r="C3" t="s">
        <v>216</v>
      </c>
    </row>
    <row r="4" spans="1:4" x14ac:dyDescent="0.3">
      <c r="A4" t="s">
        <v>206</v>
      </c>
      <c r="B4" t="s">
        <v>212</v>
      </c>
      <c r="C4" t="s">
        <v>216</v>
      </c>
    </row>
    <row r="5" spans="1:4" x14ac:dyDescent="0.3">
      <c r="A5" t="s">
        <v>207</v>
      </c>
      <c r="B5" t="s">
        <v>213</v>
      </c>
      <c r="C5" t="s">
        <v>216</v>
      </c>
    </row>
    <row r="6" spans="1:4" x14ac:dyDescent="0.3">
      <c r="A6" t="s">
        <v>208</v>
      </c>
      <c r="B6" t="s">
        <v>214</v>
      </c>
      <c r="C6" t="s">
        <v>216</v>
      </c>
    </row>
    <row r="7" spans="1:4" x14ac:dyDescent="0.3">
      <c r="A7" t="s">
        <v>209</v>
      </c>
      <c r="B7" t="s">
        <v>215</v>
      </c>
      <c r="C7" t="s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10"/>
  <sheetViews>
    <sheetView workbookViewId="0"/>
  </sheetViews>
  <sheetFormatPr defaultRowHeight="14.4" x14ac:dyDescent="0.3"/>
  <cols>
    <col min="1" max="1" width="37.109375" customWidth="1"/>
    <col min="4" max="4" width="26.88671875" customWidth="1"/>
    <col min="5" max="5" width="33.109375" customWidth="1"/>
    <col min="6" max="6" width="20.77734375" customWidth="1"/>
  </cols>
  <sheetData>
    <row r="1" spans="1:6" x14ac:dyDescent="0.3">
      <c r="A1" t="s">
        <v>13</v>
      </c>
      <c r="B1" t="s">
        <v>217</v>
      </c>
      <c r="C1" t="s">
        <v>218</v>
      </c>
      <c r="D1" t="s">
        <v>219</v>
      </c>
      <c r="E1" t="s">
        <v>220</v>
      </c>
      <c r="F1" t="s">
        <v>18</v>
      </c>
    </row>
    <row r="2" spans="1:6" x14ac:dyDescent="0.3">
      <c r="A2" t="s">
        <v>60</v>
      </c>
      <c r="E2" t="s">
        <v>58</v>
      </c>
      <c r="F2" t="s">
        <v>67</v>
      </c>
    </row>
    <row r="3" spans="1:6" x14ac:dyDescent="0.3">
      <c r="A3" t="s">
        <v>64</v>
      </c>
      <c r="D3" t="s">
        <v>60</v>
      </c>
      <c r="E3" t="s">
        <v>58</v>
      </c>
      <c r="F3" t="s">
        <v>66</v>
      </c>
    </row>
    <row r="4" spans="1:6" x14ac:dyDescent="0.3">
      <c r="A4" t="s">
        <v>62</v>
      </c>
      <c r="D4" t="s">
        <v>64</v>
      </c>
      <c r="E4" t="s">
        <v>58</v>
      </c>
      <c r="F4" t="s">
        <v>69</v>
      </c>
    </row>
    <row r="5" spans="1:6" x14ac:dyDescent="0.3">
      <c r="A5" t="s">
        <v>58</v>
      </c>
      <c r="D5" t="s">
        <v>62</v>
      </c>
      <c r="E5" t="s">
        <v>65</v>
      </c>
      <c r="F5" t="s">
        <v>67</v>
      </c>
    </row>
    <row r="6" spans="1:6" x14ac:dyDescent="0.3">
      <c r="A6" t="s">
        <v>65</v>
      </c>
      <c r="D6" t="s">
        <v>58</v>
      </c>
      <c r="E6" t="s">
        <v>61</v>
      </c>
      <c r="F6" t="s">
        <v>69</v>
      </c>
    </row>
    <row r="7" spans="1:6" x14ac:dyDescent="0.3">
      <c r="A7" t="s">
        <v>61</v>
      </c>
      <c r="D7" t="s">
        <v>65</v>
      </c>
      <c r="E7" t="s">
        <v>222</v>
      </c>
      <c r="F7" t="s">
        <v>67</v>
      </c>
    </row>
    <row r="8" spans="1:6" x14ac:dyDescent="0.3">
      <c r="A8" t="s">
        <v>59</v>
      </c>
      <c r="E8" t="s">
        <v>221</v>
      </c>
      <c r="F8" t="s">
        <v>69</v>
      </c>
    </row>
    <row r="9" spans="1:6" x14ac:dyDescent="0.3">
      <c r="A9" t="s">
        <v>63</v>
      </c>
      <c r="E9" t="s">
        <v>221</v>
      </c>
      <c r="F9" t="s">
        <v>66</v>
      </c>
    </row>
    <row r="10" spans="1:6" x14ac:dyDescent="0.3">
      <c r="A10" t="s">
        <v>57</v>
      </c>
      <c r="D10" t="s">
        <v>221</v>
      </c>
      <c r="E10" t="s">
        <v>221</v>
      </c>
      <c r="F10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B10"/>
  <sheetViews>
    <sheetView workbookViewId="0"/>
  </sheetViews>
  <sheetFormatPr defaultRowHeight="14.4" x14ac:dyDescent="0.3"/>
  <cols>
    <col min="1" max="1" width="29.109375" customWidth="1"/>
  </cols>
  <sheetData>
    <row r="1" spans="1:2" x14ac:dyDescent="0.3">
      <c r="A1" t="s">
        <v>13</v>
      </c>
      <c r="B1" t="s">
        <v>17</v>
      </c>
    </row>
    <row r="2" spans="1:2" x14ac:dyDescent="0.3">
      <c r="A2" t="s">
        <v>64</v>
      </c>
      <c r="B2">
        <v>74</v>
      </c>
    </row>
    <row r="3" spans="1:2" x14ac:dyDescent="0.3">
      <c r="A3" t="s">
        <v>57</v>
      </c>
      <c r="B3">
        <v>50</v>
      </c>
    </row>
    <row r="4" spans="1:2" x14ac:dyDescent="0.3">
      <c r="A4" t="s">
        <v>61</v>
      </c>
      <c r="B4">
        <v>28</v>
      </c>
    </row>
    <row r="5" spans="1:2" x14ac:dyDescent="0.3">
      <c r="A5" t="s">
        <v>63</v>
      </c>
      <c r="B5">
        <v>118</v>
      </c>
    </row>
    <row r="6" spans="1:2" x14ac:dyDescent="0.3">
      <c r="A6" t="s">
        <v>62</v>
      </c>
      <c r="B6">
        <v>102</v>
      </c>
    </row>
    <row r="7" spans="1:2" x14ac:dyDescent="0.3">
      <c r="A7" t="s">
        <v>58</v>
      </c>
      <c r="B7">
        <v>93</v>
      </c>
    </row>
    <row r="8" spans="1:2" x14ac:dyDescent="0.3">
      <c r="A8" t="s">
        <v>65</v>
      </c>
      <c r="B8">
        <v>85</v>
      </c>
    </row>
    <row r="9" spans="1:2" x14ac:dyDescent="0.3">
      <c r="A9" t="s">
        <v>60</v>
      </c>
      <c r="B9">
        <v>94</v>
      </c>
    </row>
    <row r="10" spans="1:2" x14ac:dyDescent="0.3">
      <c r="A10" t="s">
        <v>59</v>
      </c>
      <c r="B10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B4"/>
  <sheetViews>
    <sheetView workbookViewId="0"/>
  </sheetViews>
  <sheetFormatPr defaultRowHeight="14.4" x14ac:dyDescent="0.3"/>
  <sheetData>
    <row r="1" spans="1:2" x14ac:dyDescent="0.3">
      <c r="A1" t="s">
        <v>21</v>
      </c>
      <c r="B1" t="s">
        <v>223</v>
      </c>
    </row>
    <row r="2" spans="1:2" x14ac:dyDescent="0.3">
      <c r="A2" t="s">
        <v>71</v>
      </c>
      <c r="B2">
        <v>20</v>
      </c>
    </row>
    <row r="3" spans="1:2" x14ac:dyDescent="0.3">
      <c r="A3" t="s">
        <v>70</v>
      </c>
      <c r="B3">
        <v>16</v>
      </c>
    </row>
    <row r="4" spans="1:2" x14ac:dyDescent="0.3">
      <c r="A4" t="s">
        <v>143</v>
      </c>
      <c r="B4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B4"/>
  <sheetViews>
    <sheetView workbookViewId="0"/>
  </sheetViews>
  <sheetFormatPr defaultRowHeight="14.4" x14ac:dyDescent="0.3"/>
  <cols>
    <col min="1" max="1" width="20.33203125" customWidth="1"/>
  </cols>
  <sheetData>
    <row r="1" spans="1:2" x14ac:dyDescent="0.3">
      <c r="A1" t="s">
        <v>21</v>
      </c>
      <c r="B1" t="s">
        <v>223</v>
      </c>
    </row>
    <row r="2" spans="1:2" x14ac:dyDescent="0.3">
      <c r="A2" t="s">
        <v>71</v>
      </c>
      <c r="B2">
        <v>28</v>
      </c>
    </row>
    <row r="3" spans="1:2" x14ac:dyDescent="0.3">
      <c r="A3" t="s">
        <v>121</v>
      </c>
      <c r="B3">
        <v>22</v>
      </c>
    </row>
    <row r="4" spans="1:2" x14ac:dyDescent="0.3">
      <c r="A4" t="s">
        <v>70</v>
      </c>
      <c r="B4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B3"/>
  <sheetViews>
    <sheetView workbookViewId="0"/>
  </sheetViews>
  <sheetFormatPr defaultRowHeight="14.4" x14ac:dyDescent="0.3"/>
  <sheetData>
    <row r="1" spans="1:2" x14ac:dyDescent="0.3">
      <c r="A1" t="s">
        <v>21</v>
      </c>
      <c r="B1" t="s">
        <v>223</v>
      </c>
    </row>
    <row r="2" spans="1:2" x14ac:dyDescent="0.3">
      <c r="A2" t="s">
        <v>192</v>
      </c>
      <c r="B2">
        <v>46</v>
      </c>
    </row>
    <row r="3" spans="1:2" x14ac:dyDescent="0.3">
      <c r="A3" t="s">
        <v>193</v>
      </c>
      <c r="B3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B1"/>
  <sheetViews>
    <sheetView workbookViewId="0">
      <selection activeCell="H25" sqref="H25"/>
    </sheetView>
  </sheetViews>
  <sheetFormatPr defaultRowHeight="14.4" x14ac:dyDescent="0.3"/>
  <sheetData>
    <row r="1" spans="1:2" x14ac:dyDescent="0.3">
      <c r="A1" t="s">
        <v>197</v>
      </c>
      <c r="B1" t="s">
        <v>223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9B41-D4D1-46D4-92B5-DAA3822C76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Risk_Register</vt:lpstr>
      <vt:lpstr>NCR_Log</vt:lpstr>
      <vt:lpstr>Inspections</vt:lpstr>
      <vt:lpstr>CAPA</vt:lpstr>
      <vt:lpstr>Internal_Audits</vt:lpstr>
      <vt:lpstr>Doc_Control</vt:lpstr>
      <vt:lpstr>Training</vt:lpstr>
      <vt:lpstr>Supplier_Eval</vt:lpstr>
      <vt:lpstr>Management_Review</vt:lpstr>
      <vt:lpstr>Process_Map</vt:lpstr>
      <vt:lpstr>Risk_by_Process</vt:lpstr>
      <vt:lpstr>CAPA_Summary</vt:lpstr>
      <vt:lpstr>NCR_Summary</vt:lpstr>
      <vt:lpstr>Training_Summary</vt:lpstr>
      <vt:lpstr>Supplier_Bands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AKLIN CARBIDE COMPLIANCE</dc:creator>
  <cp:lastModifiedBy>AKLIN CARBIDE COMPLIANCE</cp:lastModifiedBy>
  <dcterms:created xsi:type="dcterms:W3CDTF">2026-02-21T16:33:37Z</dcterms:created>
  <dcterms:modified xsi:type="dcterms:W3CDTF">2026-05-20T09:10:47Z</dcterms:modified>
</cp:coreProperties>
</file>