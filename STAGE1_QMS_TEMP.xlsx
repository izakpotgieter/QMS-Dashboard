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isk_Register" sheetId="2" state="visible" r:id="rId2"/>
    <sheet name="NCR_Log" sheetId="3" state="visible" r:id="rId3"/>
    <sheet name="CAPA" sheetId="4" state="visible" r:id="rId4"/>
    <sheet name="Internal_Audits" sheetId="5" state="visible" r:id="rId5"/>
    <sheet name="Doc_Control" sheetId="6" state="visible" r:id="rId6"/>
    <sheet name="Training" sheetId="7" state="visible" r:id="rId7"/>
    <sheet name="Supplier_Eval" sheetId="8" state="visible" r:id="rId8"/>
    <sheet name="Management_Review" sheetId="9" state="visible" r:id="rId9"/>
    <sheet name="Process_Ma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00000"/>
        </patternFill>
      </fill>
    </dxf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LOGO HERE</t>
        </is>
      </c>
      <c r="D1" s="2" t="inlineStr">
        <is>
          <t>ISO 9001:2015 Quality Management System</t>
        </is>
      </c>
    </row>
    <row r="2"/>
    <row r="3"/>
    <row r="4"/>
    <row r="5">
      <c r="A5" s="3" t="inlineStr">
        <is>
          <t>Open NCRs</t>
        </is>
      </c>
      <c r="B5">
        <f>COUNTIF(NCR_Log!H:H,"Open")</f>
        <v/>
      </c>
    </row>
    <row r="7">
      <c r="A7" s="3" t="inlineStr">
        <is>
          <t>Open CAPAs</t>
        </is>
      </c>
      <c r="B7">
        <f>COUNTIF(CAPA!J:J,"Open")</f>
        <v/>
      </c>
    </row>
    <row r="9">
      <c r="A9" s="3" t="inlineStr">
        <is>
          <t>Overdue CAPAs</t>
        </is>
      </c>
      <c r="B9">
        <f>COUNTIF(CAPA!J:J,"Overdue")</f>
        <v/>
      </c>
    </row>
    <row r="11">
      <c r="A11" s="3" t="inlineStr">
        <is>
          <t>High Risks</t>
        </is>
      </c>
      <c r="B11">
        <f>COUNTIF(Risk_Register!F:F,"&gt;12")</f>
        <v/>
      </c>
    </row>
    <row r="13">
      <c r="A13" s="3" t="inlineStr">
        <is>
          <t>Documents Due</t>
        </is>
      </c>
      <c r="B13">
        <f>COUNTIF(Doc_Control!G:G,"Review Due")</f>
        <v/>
      </c>
    </row>
    <row r="15">
      <c r="A15" s="3" t="inlineStr">
        <is>
          <t>Expired Training</t>
        </is>
      </c>
      <c r="B15">
        <f>COUNTIF(Training!G:G,"Expired")</f>
        <v/>
      </c>
    </row>
    <row r="40">
      <c r="A40" t="inlineStr">
        <is>
          <t>ISO 9001:2015 QMS — Revision 1.0</t>
        </is>
      </c>
    </row>
    <row r="41">
      <c r="A41" t="inlineStr">
        <is>
          <t>Generated:</t>
        </is>
      </c>
      <c r="B41">
        <f>TODAY()</f>
        <v/>
      </c>
    </row>
  </sheetData>
  <mergeCells count="2">
    <mergeCell ref="D1:H2"/>
    <mergeCell ref="A1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</cols>
  <sheetData>
    <row r="1">
      <c r="A1" s="3" t="inlineStr">
        <is>
          <t>Risk ID</t>
        </is>
      </c>
      <c r="B1" s="3" t="inlineStr">
        <is>
          <t>Process</t>
        </is>
      </c>
      <c r="C1" s="3" t="inlineStr">
        <is>
          <t>Description</t>
        </is>
      </c>
      <c r="D1" s="3" t="inlineStr">
        <is>
          <t>Likelihood</t>
        </is>
      </c>
      <c r="E1" s="3" t="inlineStr">
        <is>
          <t>Severity</t>
        </is>
      </c>
      <c r="F1" s="3" t="inlineStr">
        <is>
          <t>Risk Score</t>
        </is>
      </c>
      <c r="G1" s="3" t="inlineStr">
        <is>
          <t>Owner</t>
        </is>
      </c>
      <c r="H1" s="3" t="inlineStr">
        <is>
          <t>Treatment Plan</t>
        </is>
      </c>
      <c r="I1" s="3" t="inlineStr">
        <is>
          <t>Due Date</t>
        </is>
      </c>
      <c r="J1" s="3" t="inlineStr">
        <is>
          <t>Status</t>
        </is>
      </c>
    </row>
    <row r="2">
      <c r="A2" t="inlineStr">
        <is>
          <t>R001</t>
        </is>
      </c>
      <c r="B2" t="inlineStr">
        <is>
          <t>Improvement</t>
        </is>
      </c>
      <c r="C2" t="inlineStr">
        <is>
          <t>Incorrect impeller clearance on plant pump</t>
        </is>
      </c>
      <c r="D2" t="n">
        <v>2</v>
      </c>
      <c r="E2" t="n">
        <v>4</v>
      </c>
      <c r="F2">
        <f>D2*E2</f>
        <v/>
      </c>
      <c r="G2" t="inlineStr">
        <is>
          <t>Ops Manager</t>
        </is>
      </c>
      <c r="H2" t="inlineStr">
        <is>
          <t>Mitigation plan in place</t>
        </is>
      </c>
      <c r="I2" s="4" t="n">
        <v>46034.76746446259</v>
      </c>
      <c r="J2" t="inlineStr">
        <is>
          <t>Closed</t>
        </is>
      </c>
    </row>
    <row r="3">
      <c r="A3" t="inlineStr">
        <is>
          <t>R002</t>
        </is>
      </c>
      <c r="B3" t="inlineStr">
        <is>
          <t>Production / Operations</t>
        </is>
      </c>
      <c r="C3" t="inlineStr">
        <is>
          <t>Boiler tube leak causing unplanned shutdown</t>
        </is>
      </c>
      <c r="D3" t="n">
        <v>5</v>
      </c>
      <c r="E3" t="n">
        <v>5</v>
      </c>
      <c r="F3">
        <f>D3*E3</f>
        <v/>
      </c>
      <c r="G3" t="inlineStr">
        <is>
          <t>Quality Manager</t>
        </is>
      </c>
      <c r="H3" t="inlineStr">
        <is>
          <t>Mitigation plan in place</t>
        </is>
      </c>
      <c r="I3" s="4" t="n">
        <v>46104.76746446259</v>
      </c>
      <c r="J3" t="inlineStr">
        <is>
          <t>Closed</t>
        </is>
      </c>
    </row>
    <row r="4">
      <c r="A4" t="inlineStr">
        <is>
          <t>R003</t>
        </is>
      </c>
      <c r="B4" t="inlineStr">
        <is>
          <t>Support Services</t>
        </is>
      </c>
      <c r="C4" t="inlineStr">
        <is>
          <t>Incorrect material spec on rolling stock component</t>
        </is>
      </c>
      <c r="D4" t="n">
        <v>3</v>
      </c>
      <c r="E4" t="n">
        <v>2</v>
      </c>
      <c r="F4">
        <f>D4*E4</f>
        <v/>
      </c>
      <c r="G4" t="inlineStr">
        <is>
          <t>Maintenance Manager</t>
        </is>
      </c>
      <c r="H4" t="inlineStr">
        <is>
          <t>Mitigation plan in place</t>
        </is>
      </c>
      <c r="I4" s="4" t="n">
        <v>46158.76746446259</v>
      </c>
      <c r="J4" t="inlineStr">
        <is>
          <t>Closed</t>
        </is>
      </c>
    </row>
    <row r="5">
      <c r="A5" t="inlineStr">
        <is>
          <t>R004</t>
        </is>
      </c>
      <c r="B5" t="inlineStr">
        <is>
          <t>Sales &amp; Customer Engagement</t>
        </is>
      </c>
      <c r="C5" t="inlineStr">
        <is>
          <t>Incorrect impeller clearance on plant pump</t>
        </is>
      </c>
      <c r="D5" t="n">
        <v>1</v>
      </c>
      <c r="E5" t="n">
        <v>4</v>
      </c>
      <c r="F5">
        <f>D5*E5</f>
        <v/>
      </c>
      <c r="G5" t="inlineStr">
        <is>
          <t>Projects Manager</t>
        </is>
      </c>
      <c r="H5" t="inlineStr">
        <is>
          <t>Mitigation plan in place</t>
        </is>
      </c>
      <c r="I5" s="4" t="n">
        <v>46042.76746446259</v>
      </c>
      <c r="J5" t="inlineStr">
        <is>
          <t>Open</t>
        </is>
      </c>
    </row>
    <row r="6">
      <c r="A6" t="inlineStr">
        <is>
          <t>R005</t>
        </is>
      </c>
      <c r="B6" t="inlineStr">
        <is>
          <t>Logistics / Delivery</t>
        </is>
      </c>
      <c r="C6" t="inlineStr">
        <is>
          <t>Smelter cooling failure</t>
        </is>
      </c>
      <c r="D6" t="n">
        <v>4</v>
      </c>
      <c r="E6" t="n">
        <v>3</v>
      </c>
      <c r="F6">
        <f>D6*E6</f>
        <v/>
      </c>
      <c r="G6" t="inlineStr">
        <is>
          <t>Ops Manager</t>
        </is>
      </c>
      <c r="H6" t="inlineStr">
        <is>
          <t>Mitigation plan in place</t>
        </is>
      </c>
      <c r="I6" s="4" t="n">
        <v>46123.76746446259</v>
      </c>
      <c r="J6" t="inlineStr">
        <is>
          <t>Open</t>
        </is>
      </c>
    </row>
    <row r="7">
      <c r="A7" t="inlineStr">
        <is>
          <t>R006</t>
        </is>
      </c>
      <c r="B7" t="inlineStr">
        <is>
          <t>Support Services</t>
        </is>
      </c>
      <c r="C7" t="inlineStr">
        <is>
          <t>Unbalanced rotor on pump overhaul</t>
        </is>
      </c>
      <c r="D7" t="n">
        <v>4</v>
      </c>
      <c r="E7" t="n">
        <v>3</v>
      </c>
      <c r="F7">
        <f>D7*E7</f>
        <v/>
      </c>
      <c r="G7" t="inlineStr">
        <is>
          <t>Ops Manager</t>
        </is>
      </c>
      <c r="H7" t="inlineStr">
        <is>
          <t>Mitigation plan in place</t>
        </is>
      </c>
      <c r="I7" s="4" t="n">
        <v>46164.76746446259</v>
      </c>
      <c r="J7" t="inlineStr">
        <is>
          <t>Closed</t>
        </is>
      </c>
    </row>
    <row r="8">
      <c r="A8" t="inlineStr">
        <is>
          <t>R007</t>
        </is>
      </c>
      <c r="B8" t="inlineStr">
        <is>
          <t>Production / Operations</t>
        </is>
      </c>
      <c r="C8" t="inlineStr">
        <is>
          <t>Furnace refractory failure</t>
        </is>
      </c>
      <c r="D8" t="n">
        <v>5</v>
      </c>
      <c r="E8" t="n">
        <v>4</v>
      </c>
      <c r="F8">
        <f>D8*E8</f>
        <v/>
      </c>
      <c r="G8" t="inlineStr">
        <is>
          <t>Maintenance Manager</t>
        </is>
      </c>
      <c r="H8" t="inlineStr">
        <is>
          <t>Mitigation plan in place</t>
        </is>
      </c>
      <c r="I8" s="4" t="n">
        <v>46025.76746446259</v>
      </c>
      <c r="J8" t="inlineStr">
        <is>
          <t>Open</t>
        </is>
      </c>
    </row>
    <row r="9">
      <c r="A9" t="inlineStr">
        <is>
          <t>R008</t>
        </is>
      </c>
      <c r="B9" t="inlineStr">
        <is>
          <t>Sales &amp; Customer Engagement</t>
        </is>
      </c>
      <c r="C9" t="inlineStr">
        <is>
          <t>Boiler tube leak causing unplanned shutdown</t>
        </is>
      </c>
      <c r="D9" t="n">
        <v>4</v>
      </c>
      <c r="E9" t="n">
        <v>2</v>
      </c>
      <c r="F9">
        <f>D9*E9</f>
        <v/>
      </c>
      <c r="G9" t="inlineStr">
        <is>
          <t>Maintenance Manager</t>
        </is>
      </c>
      <c r="H9" t="inlineStr">
        <is>
          <t>Mitigation plan in place</t>
        </is>
      </c>
      <c r="I9" s="4" t="n">
        <v>46144.76746446259</v>
      </c>
      <c r="J9" t="inlineStr">
        <is>
          <t>Mitigated</t>
        </is>
      </c>
    </row>
    <row r="10">
      <c r="A10" t="inlineStr">
        <is>
          <t>R009</t>
        </is>
      </c>
      <c r="B10" t="inlineStr">
        <is>
          <t>Improvement</t>
        </is>
      </c>
      <c r="C10" t="inlineStr">
        <is>
          <t>Unbalanced rotor on pump overhaul</t>
        </is>
      </c>
      <c r="D10" t="n">
        <v>4</v>
      </c>
      <c r="E10" t="n">
        <v>4</v>
      </c>
      <c r="F10">
        <f>D10*E10</f>
        <v/>
      </c>
      <c r="G10" t="inlineStr">
        <is>
          <t>Projects Manager</t>
        </is>
      </c>
      <c r="H10" t="inlineStr">
        <is>
          <t>Mitigation plan in place</t>
        </is>
      </c>
      <c r="I10" s="4" t="n">
        <v>46137.76746446259</v>
      </c>
      <c r="J10" t="inlineStr">
        <is>
          <t>Open</t>
        </is>
      </c>
    </row>
    <row r="11">
      <c r="A11" t="inlineStr">
        <is>
          <t>R010</t>
        </is>
      </c>
      <c r="B11" t="inlineStr">
        <is>
          <t>Procurement</t>
        </is>
      </c>
      <c r="C11" t="inlineStr">
        <is>
          <t>Worn ladle lining causing metal spill risk</t>
        </is>
      </c>
      <c r="D11" t="n">
        <v>2</v>
      </c>
      <c r="E11" t="n">
        <v>5</v>
      </c>
      <c r="F11">
        <f>D11*E11</f>
        <v/>
      </c>
      <c r="G11" t="inlineStr">
        <is>
          <t>Ops Manager</t>
        </is>
      </c>
      <c r="H11" t="inlineStr">
        <is>
          <t>Mitigation plan in place</t>
        </is>
      </c>
      <c r="I11" s="4" t="n">
        <v>46140.76746446259</v>
      </c>
      <c r="J11" t="inlineStr">
        <is>
          <t>Open</t>
        </is>
      </c>
    </row>
    <row r="12">
      <c r="A12" t="inlineStr">
        <is>
          <t>R011</t>
        </is>
      </c>
      <c r="B12" t="inlineStr">
        <is>
          <t>Sales &amp; Customer Engagement</t>
        </is>
      </c>
      <c r="C12" t="inlineStr">
        <is>
          <t>Smelter cooling failure</t>
        </is>
      </c>
      <c r="D12" t="n">
        <v>4</v>
      </c>
      <c r="E12" t="n">
        <v>1</v>
      </c>
      <c r="F12">
        <f>D12*E12</f>
        <v/>
      </c>
      <c r="G12" t="inlineStr">
        <is>
          <t>Quality Manager</t>
        </is>
      </c>
      <c r="H12" t="inlineStr">
        <is>
          <t>Mitigation plan in place</t>
        </is>
      </c>
      <c r="I12" s="4" t="n">
        <v>46082.76746446259</v>
      </c>
      <c r="J12" t="inlineStr">
        <is>
          <t>Mitigated</t>
        </is>
      </c>
    </row>
    <row r="13">
      <c r="A13" t="inlineStr">
        <is>
          <t>R012</t>
        </is>
      </c>
      <c r="B13" t="inlineStr">
        <is>
          <t>Procurement</t>
        </is>
      </c>
      <c r="C13" t="inlineStr">
        <is>
          <t>Incorrect impeller clearance on plant pump</t>
        </is>
      </c>
      <c r="D13" t="n">
        <v>5</v>
      </c>
      <c r="E13" t="n">
        <v>3</v>
      </c>
      <c r="F13">
        <f>D13*E13</f>
        <v/>
      </c>
      <c r="G13" t="inlineStr">
        <is>
          <t>Ops Manager</t>
        </is>
      </c>
      <c r="H13" t="inlineStr">
        <is>
          <t>Mitigation plan in place</t>
        </is>
      </c>
      <c r="I13" s="4" t="n">
        <v>46104.76746446259</v>
      </c>
      <c r="J13" t="inlineStr">
        <is>
          <t>Mitigated</t>
        </is>
      </c>
    </row>
    <row r="14">
      <c r="A14" t="inlineStr">
        <is>
          <t>R013</t>
        </is>
      </c>
      <c r="B14" t="inlineStr">
        <is>
          <t>Management &amp; Leadership</t>
        </is>
      </c>
      <c r="C14" t="inlineStr">
        <is>
          <t>Seal failure on mine drainage pump</t>
        </is>
      </c>
      <c r="D14" t="n">
        <v>5</v>
      </c>
      <c r="E14" t="n">
        <v>4</v>
      </c>
      <c r="F14">
        <f>D14*E14</f>
        <v/>
      </c>
      <c r="G14" t="inlineStr">
        <is>
          <t>Ops Manager</t>
        </is>
      </c>
      <c r="H14" t="inlineStr">
        <is>
          <t>Mitigation plan in place</t>
        </is>
      </c>
      <c r="I14" s="4" t="n">
        <v>46085.76746446259</v>
      </c>
      <c r="J14" t="inlineStr">
        <is>
          <t>Open</t>
        </is>
      </c>
    </row>
    <row r="15">
      <c r="A15" t="inlineStr">
        <is>
          <t>R014</t>
        </is>
      </c>
      <c r="B15" t="inlineStr">
        <is>
          <t>Management &amp; Leadership</t>
        </is>
      </c>
      <c r="C15" t="inlineStr">
        <is>
          <t>Incorrect material spec on rolling stock component</t>
        </is>
      </c>
      <c r="D15" t="n">
        <v>4</v>
      </c>
      <c r="E15" t="n">
        <v>5</v>
      </c>
      <c r="F15">
        <f>D15*E15</f>
        <v/>
      </c>
      <c r="G15" t="inlineStr">
        <is>
          <t>Projects Manager</t>
        </is>
      </c>
      <c r="H15" t="inlineStr">
        <is>
          <t>Mitigation plan in place</t>
        </is>
      </c>
      <c r="I15" s="4" t="n">
        <v>46132.76746446259</v>
      </c>
      <c r="J15" t="inlineStr">
        <is>
          <t>Mitigated</t>
        </is>
      </c>
    </row>
    <row r="16">
      <c r="A16" t="inlineStr">
        <is>
          <t>R015</t>
        </is>
      </c>
      <c r="B16" t="inlineStr">
        <is>
          <t>Procurement</t>
        </is>
      </c>
      <c r="C16" t="inlineStr">
        <is>
          <t>Incorrect machining tolerance on shaft</t>
        </is>
      </c>
      <c r="D16" t="n">
        <v>3</v>
      </c>
      <c r="E16" t="n">
        <v>1</v>
      </c>
      <c r="F16">
        <f>D16*E16</f>
        <v/>
      </c>
      <c r="G16" t="inlineStr">
        <is>
          <t>Quality Manager</t>
        </is>
      </c>
      <c r="H16" t="inlineStr">
        <is>
          <t>Mitigation plan in place</t>
        </is>
      </c>
      <c r="I16" s="4" t="n">
        <v>46086.76746446259</v>
      </c>
      <c r="J16" t="inlineStr">
        <is>
          <t>Mitigated</t>
        </is>
      </c>
    </row>
    <row r="17">
      <c r="A17" t="inlineStr">
        <is>
          <t>R016</t>
        </is>
      </c>
      <c r="B17" t="inlineStr">
        <is>
          <t>Improvement</t>
        </is>
      </c>
      <c r="C17" t="inlineStr">
        <is>
          <t>Incorrect material spec on rolling stock component</t>
        </is>
      </c>
      <c r="D17" t="n">
        <v>3</v>
      </c>
      <c r="E17" t="n">
        <v>5</v>
      </c>
      <c r="F17">
        <f>D17*E17</f>
        <v/>
      </c>
      <c r="G17" t="inlineStr">
        <is>
          <t>Quality Manager</t>
        </is>
      </c>
      <c r="H17" t="inlineStr">
        <is>
          <t>Mitigation plan in place</t>
        </is>
      </c>
      <c r="I17" s="4" t="n">
        <v>46068.76746446259</v>
      </c>
      <c r="J17" t="inlineStr">
        <is>
          <t>Mitigated</t>
        </is>
      </c>
    </row>
    <row r="18">
      <c r="A18" t="inlineStr">
        <is>
          <t>R017</t>
        </is>
      </c>
      <c r="B18" t="inlineStr">
        <is>
          <t>Logistics / Delivery</t>
        </is>
      </c>
      <c r="C18" t="inlineStr">
        <is>
          <t>Incorrect material spec on rolling stock component</t>
        </is>
      </c>
      <c r="D18" t="n">
        <v>1</v>
      </c>
      <c r="E18" t="n">
        <v>2</v>
      </c>
      <c r="F18">
        <f>D18*E18</f>
        <v/>
      </c>
      <c r="G18" t="inlineStr">
        <is>
          <t>Maintenance Manager</t>
        </is>
      </c>
      <c r="H18" t="inlineStr">
        <is>
          <t>Mitigation plan in place</t>
        </is>
      </c>
      <c r="I18" s="4" t="n">
        <v>46113.76746446259</v>
      </c>
      <c r="J18" t="inlineStr">
        <is>
          <t>Mitigated</t>
        </is>
      </c>
    </row>
    <row r="19">
      <c r="A19" t="inlineStr">
        <is>
          <t>R018</t>
        </is>
      </c>
      <c r="B19" t="inlineStr">
        <is>
          <t>Support Services</t>
        </is>
      </c>
      <c r="C19" t="inlineStr">
        <is>
          <t>Worn ladle lining causing metal spill risk</t>
        </is>
      </c>
      <c r="D19" t="n">
        <v>5</v>
      </c>
      <c r="E19" t="n">
        <v>1</v>
      </c>
      <c r="F19">
        <f>D19*E19</f>
        <v/>
      </c>
      <c r="G19" t="inlineStr">
        <is>
          <t>Maintenance Manager</t>
        </is>
      </c>
      <c r="H19" t="inlineStr">
        <is>
          <t>Mitigation plan in place</t>
        </is>
      </c>
      <c r="I19" s="4" t="n">
        <v>46051.76746446259</v>
      </c>
      <c r="J19" t="inlineStr">
        <is>
          <t>Closed</t>
        </is>
      </c>
    </row>
    <row r="20">
      <c r="A20" t="inlineStr">
        <is>
          <t>R019</t>
        </is>
      </c>
      <c r="B20" t="inlineStr">
        <is>
          <t>Management &amp; Leadership</t>
        </is>
      </c>
      <c r="C20" t="inlineStr">
        <is>
          <t>Boiler tube leak causing unplanned shutdown</t>
        </is>
      </c>
      <c r="D20" t="n">
        <v>1</v>
      </c>
      <c r="E20" t="n">
        <v>1</v>
      </c>
      <c r="F20">
        <f>D20*E20</f>
        <v/>
      </c>
      <c r="G20" t="inlineStr">
        <is>
          <t>Projects Manager</t>
        </is>
      </c>
      <c r="H20" t="inlineStr">
        <is>
          <t>Mitigation plan in place</t>
        </is>
      </c>
      <c r="I20" s="4" t="n">
        <v>46163.76746446259</v>
      </c>
      <c r="J20" t="inlineStr">
        <is>
          <t>Mitigated</t>
        </is>
      </c>
    </row>
    <row r="21">
      <c r="A21" t="inlineStr">
        <is>
          <t>R020</t>
        </is>
      </c>
      <c r="B21" t="inlineStr">
        <is>
          <t>Production / Operations</t>
        </is>
      </c>
      <c r="C21" t="inlineStr">
        <is>
          <t>Incorrect material spec on rolling stock component</t>
        </is>
      </c>
      <c r="D21" t="n">
        <v>2</v>
      </c>
      <c r="E21" t="n">
        <v>5</v>
      </c>
      <c r="F21">
        <f>D21*E21</f>
        <v/>
      </c>
      <c r="G21" t="inlineStr">
        <is>
          <t>Maintenance Manager</t>
        </is>
      </c>
      <c r="H21" t="inlineStr">
        <is>
          <t>Mitigation plan in place</t>
        </is>
      </c>
      <c r="I21" s="4" t="n">
        <v>46103.76746446259</v>
      </c>
      <c r="J21" t="inlineStr">
        <is>
          <t>Closed</t>
        </is>
      </c>
    </row>
    <row r="22">
      <c r="A22" t="inlineStr">
        <is>
          <t>R021</t>
        </is>
      </c>
      <c r="B22" t="inlineStr">
        <is>
          <t>Design &amp; Engineering</t>
        </is>
      </c>
      <c r="C22" t="inlineStr">
        <is>
          <t>Late delivery of critical consumables</t>
        </is>
      </c>
      <c r="D22" t="n">
        <v>1</v>
      </c>
      <c r="E22" t="n">
        <v>2</v>
      </c>
      <c r="F22">
        <f>D22*E22</f>
        <v/>
      </c>
      <c r="G22" t="inlineStr">
        <is>
          <t>Ops Manager</t>
        </is>
      </c>
      <c r="H22" t="inlineStr">
        <is>
          <t>Mitigation plan in place</t>
        </is>
      </c>
      <c r="I22" s="4" t="n">
        <v>46026.76746446259</v>
      </c>
      <c r="J22" t="inlineStr">
        <is>
          <t>Closed</t>
        </is>
      </c>
    </row>
    <row r="23">
      <c r="A23" t="inlineStr">
        <is>
          <t>R022</t>
        </is>
      </c>
      <c r="B23" t="inlineStr">
        <is>
          <t>Production / Operations</t>
        </is>
      </c>
      <c r="C23" t="inlineStr">
        <is>
          <t>Incorrect material spec on rolling stock component</t>
        </is>
      </c>
      <c r="D23" t="n">
        <v>1</v>
      </c>
      <c r="E23" t="n">
        <v>3</v>
      </c>
      <c r="F23">
        <f>D23*E23</f>
        <v/>
      </c>
      <c r="G23" t="inlineStr">
        <is>
          <t>Maintenance Manager</t>
        </is>
      </c>
      <c r="H23" t="inlineStr">
        <is>
          <t>Mitigation plan in place</t>
        </is>
      </c>
      <c r="I23" s="4" t="n">
        <v>46055.76746446259</v>
      </c>
      <c r="J23" t="inlineStr">
        <is>
          <t>Mitigated</t>
        </is>
      </c>
    </row>
    <row r="24">
      <c r="A24" t="inlineStr">
        <is>
          <t>R023</t>
        </is>
      </c>
      <c r="B24" t="inlineStr">
        <is>
          <t>Production / Operations</t>
        </is>
      </c>
      <c r="C24" t="inlineStr">
        <is>
          <t>Incorrect material spec on rolling stock component</t>
        </is>
      </c>
      <c r="D24" t="n">
        <v>3</v>
      </c>
      <c r="E24" t="n">
        <v>5</v>
      </c>
      <c r="F24">
        <f>D24*E24</f>
        <v/>
      </c>
      <c r="G24" t="inlineStr">
        <is>
          <t>Quality Manager</t>
        </is>
      </c>
      <c r="H24" t="inlineStr">
        <is>
          <t>Mitigation plan in place</t>
        </is>
      </c>
      <c r="I24" s="4" t="n">
        <v>46069.76746446259</v>
      </c>
      <c r="J24" t="inlineStr">
        <is>
          <t>Mitigated</t>
        </is>
      </c>
    </row>
    <row r="25">
      <c r="A25" t="inlineStr">
        <is>
          <t>R024</t>
        </is>
      </c>
      <c r="B25" t="inlineStr">
        <is>
          <t>Improvement</t>
        </is>
      </c>
      <c r="C25" t="inlineStr">
        <is>
          <t>Boiler tube leak causing unplanned shutdown</t>
        </is>
      </c>
      <c r="D25" t="n">
        <v>1</v>
      </c>
      <c r="E25" t="n">
        <v>1</v>
      </c>
      <c r="F25">
        <f>D25*E25</f>
        <v/>
      </c>
      <c r="G25" t="inlineStr">
        <is>
          <t>Ops Manager</t>
        </is>
      </c>
      <c r="H25" t="inlineStr">
        <is>
          <t>Mitigation plan in place</t>
        </is>
      </c>
      <c r="I25" s="4" t="n">
        <v>46122.76746446259</v>
      </c>
      <c r="J25" t="inlineStr">
        <is>
          <t>Mitigated</t>
        </is>
      </c>
    </row>
    <row r="26">
      <c r="A26" t="inlineStr">
        <is>
          <t>R025</t>
        </is>
      </c>
      <c r="B26" t="inlineStr">
        <is>
          <t>Procurement</t>
        </is>
      </c>
      <c r="C26" t="inlineStr">
        <is>
          <t>Seal failure on mine drainage pump</t>
        </is>
      </c>
      <c r="D26" t="n">
        <v>5</v>
      </c>
      <c r="E26" t="n">
        <v>3</v>
      </c>
      <c r="F26">
        <f>D26*E26</f>
        <v/>
      </c>
      <c r="G26" t="inlineStr">
        <is>
          <t>Projects Manager</t>
        </is>
      </c>
      <c r="H26" t="inlineStr">
        <is>
          <t>Mitigation plan in place</t>
        </is>
      </c>
      <c r="I26" s="4" t="n">
        <v>46040.76746446259</v>
      </c>
      <c r="J26" t="inlineStr">
        <is>
          <t>Closed</t>
        </is>
      </c>
    </row>
    <row r="27">
      <c r="A27" t="inlineStr">
        <is>
          <t>R026</t>
        </is>
      </c>
      <c r="B27" t="inlineStr">
        <is>
          <t>Management &amp; Leadership</t>
        </is>
      </c>
      <c r="C27" t="inlineStr">
        <is>
          <t>Unbalanced rotor on pump overhaul</t>
        </is>
      </c>
      <c r="D27" t="n">
        <v>5</v>
      </c>
      <c r="E27" t="n">
        <v>2</v>
      </c>
      <c r="F27">
        <f>D27*E27</f>
        <v/>
      </c>
      <c r="G27" t="inlineStr">
        <is>
          <t>Ops Manager</t>
        </is>
      </c>
      <c r="H27" t="inlineStr">
        <is>
          <t>Mitigation plan in place</t>
        </is>
      </c>
      <c r="I27" s="4" t="n">
        <v>46029.76746446259</v>
      </c>
      <c r="J27" t="inlineStr">
        <is>
          <t>Closed</t>
        </is>
      </c>
    </row>
    <row r="28">
      <c r="A28" t="inlineStr">
        <is>
          <t>R027</t>
        </is>
      </c>
      <c r="B28" t="inlineStr">
        <is>
          <t>Production / Operations</t>
        </is>
      </c>
      <c r="C28" t="inlineStr">
        <is>
          <t>Incorrect machining tolerance on shaft</t>
        </is>
      </c>
      <c r="D28" t="n">
        <v>4</v>
      </c>
      <c r="E28" t="n">
        <v>2</v>
      </c>
      <c r="F28">
        <f>D28*E28</f>
        <v/>
      </c>
      <c r="G28" t="inlineStr">
        <is>
          <t>Maintenance Manager</t>
        </is>
      </c>
      <c r="H28" t="inlineStr">
        <is>
          <t>Mitigation plan in place</t>
        </is>
      </c>
      <c r="I28" s="4" t="n">
        <v>46073.76746446259</v>
      </c>
      <c r="J28" t="inlineStr">
        <is>
          <t>Mitigated</t>
        </is>
      </c>
    </row>
    <row r="29">
      <c r="A29" t="inlineStr">
        <is>
          <t>R028</t>
        </is>
      </c>
      <c r="B29" t="inlineStr">
        <is>
          <t>Management &amp; Leadership</t>
        </is>
      </c>
      <c r="C29" t="inlineStr">
        <is>
          <t>Smelter cooling failure</t>
        </is>
      </c>
      <c r="D29" t="n">
        <v>2</v>
      </c>
      <c r="E29" t="n">
        <v>5</v>
      </c>
      <c r="F29">
        <f>D29*E29</f>
        <v/>
      </c>
      <c r="G29" t="inlineStr">
        <is>
          <t>Quality Manager</t>
        </is>
      </c>
      <c r="H29" t="inlineStr">
        <is>
          <t>Mitigation plan in place</t>
        </is>
      </c>
      <c r="I29" s="4" t="n">
        <v>46060.76746446259</v>
      </c>
      <c r="J29" t="inlineStr">
        <is>
          <t>Open</t>
        </is>
      </c>
    </row>
    <row r="30">
      <c r="A30" t="inlineStr">
        <is>
          <t>R029</t>
        </is>
      </c>
      <c r="B30" t="inlineStr">
        <is>
          <t>Procurement</t>
        </is>
      </c>
      <c r="C30" t="inlineStr">
        <is>
          <t>Incorrect machining tolerance on shaft</t>
        </is>
      </c>
      <c r="D30" t="n">
        <v>2</v>
      </c>
      <c r="E30" t="n">
        <v>3</v>
      </c>
      <c r="F30">
        <f>D30*E30</f>
        <v/>
      </c>
      <c r="G30" t="inlineStr">
        <is>
          <t>Maintenance Manager</t>
        </is>
      </c>
      <c r="H30" t="inlineStr">
        <is>
          <t>Mitigation plan in place</t>
        </is>
      </c>
      <c r="I30" s="4" t="n">
        <v>46123.76746446259</v>
      </c>
      <c r="J30" t="inlineStr">
        <is>
          <t>Open</t>
        </is>
      </c>
    </row>
    <row r="31">
      <c r="A31" t="inlineStr">
        <is>
          <t>R030</t>
        </is>
      </c>
      <c r="B31" t="inlineStr">
        <is>
          <t>Management &amp; Leadership</t>
        </is>
      </c>
      <c r="C31" t="inlineStr">
        <is>
          <t>Incorrect material spec on rolling stock component</t>
        </is>
      </c>
      <c r="D31" t="n">
        <v>4</v>
      </c>
      <c r="E31" t="n">
        <v>3</v>
      </c>
      <c r="F31">
        <f>D31*E31</f>
        <v/>
      </c>
      <c r="G31" t="inlineStr">
        <is>
          <t>Maintenance Manager</t>
        </is>
      </c>
      <c r="H31" t="inlineStr">
        <is>
          <t>Mitigation plan in place</t>
        </is>
      </c>
      <c r="I31" s="4" t="n">
        <v>46097.76746446259</v>
      </c>
      <c r="J31" t="inlineStr">
        <is>
          <t>Mitigated</t>
        </is>
      </c>
    </row>
    <row r="32">
      <c r="A32" t="inlineStr">
        <is>
          <t>R031</t>
        </is>
      </c>
      <c r="B32" t="inlineStr">
        <is>
          <t>Management &amp; Leadership</t>
        </is>
      </c>
      <c r="C32" t="inlineStr">
        <is>
          <t>Late delivery of critical consumables</t>
        </is>
      </c>
      <c r="D32" t="n">
        <v>3</v>
      </c>
      <c r="E32" t="n">
        <v>3</v>
      </c>
      <c r="F32">
        <f>D32*E32</f>
        <v/>
      </c>
      <c r="G32" t="inlineStr">
        <is>
          <t>Quality Manager</t>
        </is>
      </c>
      <c r="H32" t="inlineStr">
        <is>
          <t>Mitigation plan in place</t>
        </is>
      </c>
      <c r="I32" s="4" t="n">
        <v>46117.76746446259</v>
      </c>
      <c r="J32" t="inlineStr">
        <is>
          <t>Open</t>
        </is>
      </c>
    </row>
    <row r="33">
      <c r="A33" t="inlineStr">
        <is>
          <t>R032</t>
        </is>
      </c>
      <c r="B33" t="inlineStr">
        <is>
          <t>Design &amp; Engineering</t>
        </is>
      </c>
      <c r="C33" t="inlineStr">
        <is>
          <t>Boiler tube leak causing unplanned shutdown</t>
        </is>
      </c>
      <c r="D33" t="n">
        <v>4</v>
      </c>
      <c r="E33" t="n">
        <v>2</v>
      </c>
      <c r="F33">
        <f>D33*E33</f>
        <v/>
      </c>
      <c r="G33" t="inlineStr">
        <is>
          <t>Quality Manager</t>
        </is>
      </c>
      <c r="H33" t="inlineStr">
        <is>
          <t>Mitigation plan in place</t>
        </is>
      </c>
      <c r="I33" s="4" t="n">
        <v>46108.76746446259</v>
      </c>
      <c r="J33" t="inlineStr">
        <is>
          <t>Open</t>
        </is>
      </c>
    </row>
    <row r="34">
      <c r="A34" t="inlineStr">
        <is>
          <t>R033</t>
        </is>
      </c>
      <c r="B34" t="inlineStr">
        <is>
          <t>Support Services</t>
        </is>
      </c>
      <c r="C34" t="inlineStr">
        <is>
          <t>Smelter cooling failure</t>
        </is>
      </c>
      <c r="D34" t="n">
        <v>1</v>
      </c>
      <c r="E34" t="n">
        <v>3</v>
      </c>
      <c r="F34">
        <f>D34*E34</f>
        <v/>
      </c>
      <c r="G34" t="inlineStr">
        <is>
          <t>Ops Manager</t>
        </is>
      </c>
      <c r="H34" t="inlineStr">
        <is>
          <t>Mitigation plan in place</t>
        </is>
      </c>
      <c r="I34" s="4" t="n">
        <v>46055.76746446259</v>
      </c>
      <c r="J34" t="inlineStr">
        <is>
          <t>Open</t>
        </is>
      </c>
    </row>
    <row r="35">
      <c r="A35" t="inlineStr">
        <is>
          <t>R034</t>
        </is>
      </c>
      <c r="B35" t="inlineStr">
        <is>
          <t>Sales &amp; Customer Engagement</t>
        </is>
      </c>
      <c r="C35" t="inlineStr">
        <is>
          <t>Furnace refractory failure</t>
        </is>
      </c>
      <c r="D35" t="n">
        <v>5</v>
      </c>
      <c r="E35" t="n">
        <v>4</v>
      </c>
      <c r="F35">
        <f>D35*E35</f>
        <v/>
      </c>
      <c r="G35" t="inlineStr">
        <is>
          <t>Projects Manager</t>
        </is>
      </c>
      <c r="H35" t="inlineStr">
        <is>
          <t>Mitigation plan in place</t>
        </is>
      </c>
      <c r="I35" s="4" t="n">
        <v>46082.76746446259</v>
      </c>
      <c r="J35" t="inlineStr">
        <is>
          <t>Open</t>
        </is>
      </c>
    </row>
    <row r="36">
      <c r="A36" t="inlineStr">
        <is>
          <t>R035</t>
        </is>
      </c>
      <c r="B36" t="inlineStr">
        <is>
          <t>Sales &amp; Customer Engagement</t>
        </is>
      </c>
      <c r="C36" t="inlineStr">
        <is>
          <t>Incorrect machining tolerance on shaft</t>
        </is>
      </c>
      <c r="D36" t="n">
        <v>5</v>
      </c>
      <c r="E36" t="n">
        <v>4</v>
      </c>
      <c r="F36">
        <f>D36*E36</f>
        <v/>
      </c>
      <c r="G36" t="inlineStr">
        <is>
          <t>Maintenance Manager</t>
        </is>
      </c>
      <c r="H36" t="inlineStr">
        <is>
          <t>Mitigation plan in place</t>
        </is>
      </c>
      <c r="I36" s="4" t="n">
        <v>46043.76746446259</v>
      </c>
      <c r="J36" t="inlineStr">
        <is>
          <t>Closed</t>
        </is>
      </c>
    </row>
    <row r="37">
      <c r="A37" t="inlineStr">
        <is>
          <t>R036</t>
        </is>
      </c>
      <c r="B37" t="inlineStr">
        <is>
          <t>Management &amp; Leadership</t>
        </is>
      </c>
      <c r="C37" t="inlineStr">
        <is>
          <t>Smelter cooling failure</t>
        </is>
      </c>
      <c r="D37" t="n">
        <v>5</v>
      </c>
      <c r="E37" t="n">
        <v>4</v>
      </c>
      <c r="F37">
        <f>D37*E37</f>
        <v/>
      </c>
      <c r="G37" t="inlineStr">
        <is>
          <t>Projects Manager</t>
        </is>
      </c>
      <c r="H37" t="inlineStr">
        <is>
          <t>Mitigation plan in place</t>
        </is>
      </c>
      <c r="I37" s="4" t="n">
        <v>46072.76746446259</v>
      </c>
      <c r="J37" t="inlineStr">
        <is>
          <t>Mitigated</t>
        </is>
      </c>
    </row>
    <row r="38">
      <c r="A38" t="inlineStr">
        <is>
          <t>R037</t>
        </is>
      </c>
      <c r="B38" t="inlineStr">
        <is>
          <t>Design &amp; Engineering</t>
        </is>
      </c>
      <c r="C38" t="inlineStr">
        <is>
          <t>Incorrect material spec on rolling stock component</t>
        </is>
      </c>
      <c r="D38" t="n">
        <v>3</v>
      </c>
      <c r="E38" t="n">
        <v>2</v>
      </c>
      <c r="F38">
        <f>D38*E38</f>
        <v/>
      </c>
      <c r="G38" t="inlineStr">
        <is>
          <t>Ops Manager</t>
        </is>
      </c>
      <c r="H38" t="inlineStr">
        <is>
          <t>Mitigation plan in place</t>
        </is>
      </c>
      <c r="I38" s="4" t="n">
        <v>46112.76746446259</v>
      </c>
      <c r="J38" t="inlineStr">
        <is>
          <t>Closed</t>
        </is>
      </c>
    </row>
    <row r="39">
      <c r="A39" t="inlineStr">
        <is>
          <t>R038</t>
        </is>
      </c>
      <c r="B39" t="inlineStr">
        <is>
          <t>Quality Control / Inspection</t>
        </is>
      </c>
      <c r="C39" t="inlineStr">
        <is>
          <t>Incorrect material spec on rolling stock component</t>
        </is>
      </c>
      <c r="D39" t="n">
        <v>4</v>
      </c>
      <c r="E39" t="n">
        <v>4</v>
      </c>
      <c r="F39">
        <f>D39*E39</f>
        <v/>
      </c>
      <c r="G39" t="inlineStr">
        <is>
          <t>Quality Manager</t>
        </is>
      </c>
      <c r="H39" t="inlineStr">
        <is>
          <t>Mitigation plan in place</t>
        </is>
      </c>
      <c r="I39" s="4" t="n">
        <v>46047.76746446259</v>
      </c>
      <c r="J39" t="inlineStr">
        <is>
          <t>Closed</t>
        </is>
      </c>
    </row>
    <row r="40">
      <c r="A40" t="inlineStr">
        <is>
          <t>R039</t>
        </is>
      </c>
      <c r="B40" t="inlineStr">
        <is>
          <t>Procurement</t>
        </is>
      </c>
      <c r="C40" t="inlineStr">
        <is>
          <t>Smelter cooling failure</t>
        </is>
      </c>
      <c r="D40" t="n">
        <v>1</v>
      </c>
      <c r="E40" t="n">
        <v>1</v>
      </c>
      <c r="F40">
        <f>D40*E40</f>
        <v/>
      </c>
      <c r="G40" t="inlineStr">
        <is>
          <t>Projects Manager</t>
        </is>
      </c>
      <c r="H40" t="inlineStr">
        <is>
          <t>Mitigation plan in place</t>
        </is>
      </c>
      <c r="I40" s="4" t="n">
        <v>46053.76746446259</v>
      </c>
      <c r="J40" t="inlineStr">
        <is>
          <t>Closed</t>
        </is>
      </c>
    </row>
    <row r="41">
      <c r="A41" t="inlineStr">
        <is>
          <t>R040</t>
        </is>
      </c>
      <c r="B41" t="inlineStr">
        <is>
          <t>Support Services</t>
        </is>
      </c>
      <c r="C41" t="inlineStr">
        <is>
          <t>Furnace refractory failure</t>
        </is>
      </c>
      <c r="D41" t="n">
        <v>2</v>
      </c>
      <c r="E41" t="n">
        <v>5</v>
      </c>
      <c r="F41">
        <f>D41*E41</f>
        <v/>
      </c>
      <c r="G41" t="inlineStr">
        <is>
          <t>Quality Manager</t>
        </is>
      </c>
      <c r="H41" t="inlineStr">
        <is>
          <t>Mitigation plan in place</t>
        </is>
      </c>
      <c r="I41" s="4" t="n">
        <v>46154.76746446259</v>
      </c>
      <c r="J41" t="inlineStr">
        <is>
          <t>Open</t>
        </is>
      </c>
    </row>
    <row r="42">
      <c r="A42" t="inlineStr">
        <is>
          <t>R041</t>
        </is>
      </c>
      <c r="B42" t="inlineStr">
        <is>
          <t>Design &amp; Engineering</t>
        </is>
      </c>
      <c r="C42" t="inlineStr">
        <is>
          <t>Boiler tube leak causing unplanned shutdown</t>
        </is>
      </c>
      <c r="D42" t="n">
        <v>5</v>
      </c>
      <c r="E42" t="n">
        <v>2</v>
      </c>
      <c r="F42">
        <f>D42*E42</f>
        <v/>
      </c>
      <c r="G42" t="inlineStr">
        <is>
          <t>Maintenance Manager</t>
        </is>
      </c>
      <c r="H42" t="inlineStr">
        <is>
          <t>Mitigation plan in place</t>
        </is>
      </c>
      <c r="I42" s="4" t="n">
        <v>46096.76746446259</v>
      </c>
      <c r="J42" t="inlineStr">
        <is>
          <t>Closed</t>
        </is>
      </c>
    </row>
    <row r="43">
      <c r="A43" t="inlineStr">
        <is>
          <t>R042</t>
        </is>
      </c>
      <c r="B43" t="inlineStr">
        <is>
          <t>Logistics / Delivery</t>
        </is>
      </c>
      <c r="C43" t="inlineStr">
        <is>
          <t>Late delivery of critical consumables</t>
        </is>
      </c>
      <c r="D43" t="n">
        <v>1</v>
      </c>
      <c r="E43" t="n">
        <v>4</v>
      </c>
      <c r="F43">
        <f>D43*E43</f>
        <v/>
      </c>
      <c r="G43" t="inlineStr">
        <is>
          <t>Maintenance Manager</t>
        </is>
      </c>
      <c r="H43" t="inlineStr">
        <is>
          <t>Mitigation plan in place</t>
        </is>
      </c>
      <c r="I43" s="4" t="n">
        <v>46129.76746446259</v>
      </c>
      <c r="J43" t="inlineStr">
        <is>
          <t>Mitigated</t>
        </is>
      </c>
    </row>
    <row r="44">
      <c r="A44" t="inlineStr">
        <is>
          <t>R043</t>
        </is>
      </c>
      <c r="B44" t="inlineStr">
        <is>
          <t>Sales &amp; Customer Engagement</t>
        </is>
      </c>
      <c r="C44" t="inlineStr">
        <is>
          <t>Furnace refractory failure</t>
        </is>
      </c>
      <c r="D44" t="n">
        <v>1</v>
      </c>
      <c r="E44" t="n">
        <v>1</v>
      </c>
      <c r="F44">
        <f>D44*E44</f>
        <v/>
      </c>
      <c r="G44" t="inlineStr">
        <is>
          <t>Projects Manager</t>
        </is>
      </c>
      <c r="H44" t="inlineStr">
        <is>
          <t>Mitigation plan in place</t>
        </is>
      </c>
      <c r="I44" s="4" t="n">
        <v>46048.76746446259</v>
      </c>
      <c r="J44" t="inlineStr">
        <is>
          <t>Mitigated</t>
        </is>
      </c>
    </row>
    <row r="45">
      <c r="A45" t="inlineStr">
        <is>
          <t>R044</t>
        </is>
      </c>
      <c r="B45" t="inlineStr">
        <is>
          <t>Sales &amp; Customer Engagement</t>
        </is>
      </c>
      <c r="C45" t="inlineStr">
        <is>
          <t>Incorrect machining tolerance on shaft</t>
        </is>
      </c>
      <c r="D45" t="n">
        <v>3</v>
      </c>
      <c r="E45" t="n">
        <v>2</v>
      </c>
      <c r="F45">
        <f>D45*E45</f>
        <v/>
      </c>
      <c r="G45" t="inlineStr">
        <is>
          <t>Quality Manager</t>
        </is>
      </c>
      <c r="H45" t="inlineStr">
        <is>
          <t>Mitigation plan in place</t>
        </is>
      </c>
      <c r="I45" s="4" t="n">
        <v>46116.76746446259</v>
      </c>
      <c r="J45" t="inlineStr">
        <is>
          <t>Open</t>
        </is>
      </c>
    </row>
    <row r="46">
      <c r="A46" t="inlineStr">
        <is>
          <t>R045</t>
        </is>
      </c>
      <c r="B46" t="inlineStr">
        <is>
          <t>Support Services</t>
        </is>
      </c>
      <c r="C46" t="inlineStr">
        <is>
          <t>Worn ladle lining causing metal spill risk</t>
        </is>
      </c>
      <c r="D46" t="n">
        <v>2</v>
      </c>
      <c r="E46" t="n">
        <v>1</v>
      </c>
      <c r="F46">
        <f>D46*E46</f>
        <v/>
      </c>
      <c r="G46" t="inlineStr">
        <is>
          <t>Projects Manager</t>
        </is>
      </c>
      <c r="H46" t="inlineStr">
        <is>
          <t>Mitigation plan in place</t>
        </is>
      </c>
      <c r="I46" s="4" t="n">
        <v>46095.76746446259</v>
      </c>
      <c r="J46" t="inlineStr">
        <is>
          <t>Open</t>
        </is>
      </c>
    </row>
    <row r="47">
      <c r="A47" t="inlineStr">
        <is>
          <t>R046</t>
        </is>
      </c>
      <c r="B47" t="inlineStr">
        <is>
          <t>Improvement</t>
        </is>
      </c>
      <c r="C47" t="inlineStr">
        <is>
          <t>Unbalanced rotor on pump overhaul</t>
        </is>
      </c>
      <c r="D47" t="n">
        <v>3</v>
      </c>
      <c r="E47" t="n">
        <v>3</v>
      </c>
      <c r="F47">
        <f>D47*E47</f>
        <v/>
      </c>
      <c r="G47" t="inlineStr">
        <is>
          <t>Projects Manager</t>
        </is>
      </c>
      <c r="H47" t="inlineStr">
        <is>
          <t>Mitigation plan in place</t>
        </is>
      </c>
      <c r="I47" s="4" t="n">
        <v>46042.76746446259</v>
      </c>
      <c r="J47" t="inlineStr">
        <is>
          <t>Closed</t>
        </is>
      </c>
    </row>
    <row r="48">
      <c r="A48" t="inlineStr">
        <is>
          <t>R047</t>
        </is>
      </c>
      <c r="B48" t="inlineStr">
        <is>
          <t>Sales &amp; Customer Engagement</t>
        </is>
      </c>
      <c r="C48" t="inlineStr">
        <is>
          <t>Late delivery of critical consumables</t>
        </is>
      </c>
      <c r="D48" t="n">
        <v>2</v>
      </c>
      <c r="E48" t="n">
        <v>1</v>
      </c>
      <c r="F48">
        <f>D48*E48</f>
        <v/>
      </c>
      <c r="G48" t="inlineStr">
        <is>
          <t>Quality Manager</t>
        </is>
      </c>
      <c r="H48" t="inlineStr">
        <is>
          <t>Mitigation plan in place</t>
        </is>
      </c>
      <c r="I48" s="4" t="n">
        <v>46163.76746446259</v>
      </c>
      <c r="J48" t="inlineStr">
        <is>
          <t>Mitigated</t>
        </is>
      </c>
    </row>
    <row r="49">
      <c r="A49" t="inlineStr">
        <is>
          <t>R048</t>
        </is>
      </c>
      <c r="B49" t="inlineStr">
        <is>
          <t>Quality Control / Inspection</t>
        </is>
      </c>
      <c r="C49" t="inlineStr">
        <is>
          <t>Incorrect machining tolerance on shaft</t>
        </is>
      </c>
      <c r="D49" t="n">
        <v>1</v>
      </c>
      <c r="E49" t="n">
        <v>2</v>
      </c>
      <c r="F49">
        <f>D49*E49</f>
        <v/>
      </c>
      <c r="G49" t="inlineStr">
        <is>
          <t>Projects Manager</t>
        </is>
      </c>
      <c r="H49" t="inlineStr">
        <is>
          <t>Mitigation plan in place</t>
        </is>
      </c>
      <c r="I49" s="4" t="n">
        <v>46118.76746446259</v>
      </c>
      <c r="J49" t="inlineStr">
        <is>
          <t>Closed</t>
        </is>
      </c>
    </row>
    <row r="50">
      <c r="A50" t="inlineStr">
        <is>
          <t>R049</t>
        </is>
      </c>
      <c r="B50" t="inlineStr">
        <is>
          <t>Procurement</t>
        </is>
      </c>
      <c r="C50" t="inlineStr">
        <is>
          <t>Incorrect material spec on rolling stock component</t>
        </is>
      </c>
      <c r="D50" t="n">
        <v>1</v>
      </c>
      <c r="E50" t="n">
        <v>4</v>
      </c>
      <c r="F50">
        <f>D50*E50</f>
        <v/>
      </c>
      <c r="G50" t="inlineStr">
        <is>
          <t>Ops Manager</t>
        </is>
      </c>
      <c r="H50" t="inlineStr">
        <is>
          <t>Mitigation plan in place</t>
        </is>
      </c>
      <c r="I50" s="4" t="n">
        <v>46020.76746446259</v>
      </c>
      <c r="J50" t="inlineStr">
        <is>
          <t>Open</t>
        </is>
      </c>
    </row>
    <row r="51">
      <c r="A51" t="inlineStr">
        <is>
          <t>R050</t>
        </is>
      </c>
      <c r="B51" t="inlineStr">
        <is>
          <t>Procurement</t>
        </is>
      </c>
      <c r="C51" t="inlineStr">
        <is>
          <t>Incorrect impeller clearance on plant pump</t>
        </is>
      </c>
      <c r="D51" t="n">
        <v>3</v>
      </c>
      <c r="E51" t="n">
        <v>4</v>
      </c>
      <c r="F51">
        <f>D51*E51</f>
        <v/>
      </c>
      <c r="G51" t="inlineStr">
        <is>
          <t>Maintenance Manager</t>
        </is>
      </c>
      <c r="H51" t="inlineStr">
        <is>
          <t>Mitigation plan in place</t>
        </is>
      </c>
      <c r="I51" s="4" t="n">
        <v>46140.76746446259</v>
      </c>
      <c r="J51" t="inlineStr">
        <is>
          <t>Open</t>
        </is>
      </c>
    </row>
    <row r="52">
      <c r="A52" t="inlineStr">
        <is>
          <t>R051</t>
        </is>
      </c>
      <c r="B52" t="inlineStr">
        <is>
          <t>Procurement</t>
        </is>
      </c>
      <c r="C52" t="inlineStr">
        <is>
          <t>Incorrect impeller clearance on plant pump</t>
        </is>
      </c>
      <c r="D52" t="n">
        <v>4</v>
      </c>
      <c r="E52" t="n">
        <v>3</v>
      </c>
      <c r="F52">
        <f>D52*E52</f>
        <v/>
      </c>
      <c r="G52" t="inlineStr">
        <is>
          <t>Projects Manager</t>
        </is>
      </c>
      <c r="H52" t="inlineStr">
        <is>
          <t>Mitigation plan in place</t>
        </is>
      </c>
      <c r="I52" s="4" t="n">
        <v>46136.76746446259</v>
      </c>
      <c r="J52" t="inlineStr">
        <is>
          <t>Closed</t>
        </is>
      </c>
    </row>
    <row r="53">
      <c r="A53" t="inlineStr">
        <is>
          <t>R052</t>
        </is>
      </c>
      <c r="B53" t="inlineStr">
        <is>
          <t>Support Services</t>
        </is>
      </c>
      <c r="C53" t="inlineStr">
        <is>
          <t>Incorrect impeller clearance on plant pump</t>
        </is>
      </c>
      <c r="D53" t="n">
        <v>1</v>
      </c>
      <c r="E53" t="n">
        <v>4</v>
      </c>
      <c r="F53">
        <f>D53*E53</f>
        <v/>
      </c>
      <c r="G53" t="inlineStr">
        <is>
          <t>Quality Manager</t>
        </is>
      </c>
      <c r="H53" t="inlineStr">
        <is>
          <t>Mitigation plan in place</t>
        </is>
      </c>
      <c r="I53" s="4" t="n">
        <v>46088.76746446259</v>
      </c>
      <c r="J53" t="inlineStr">
        <is>
          <t>Open</t>
        </is>
      </c>
    </row>
    <row r="54">
      <c r="A54" t="inlineStr">
        <is>
          <t>R053</t>
        </is>
      </c>
      <c r="B54" t="inlineStr">
        <is>
          <t>Production / Operations</t>
        </is>
      </c>
      <c r="C54" t="inlineStr">
        <is>
          <t>Unbalanced rotor on pump overhaul</t>
        </is>
      </c>
      <c r="D54" t="n">
        <v>2</v>
      </c>
      <c r="E54" t="n">
        <v>2</v>
      </c>
      <c r="F54">
        <f>D54*E54</f>
        <v/>
      </c>
      <c r="G54" t="inlineStr">
        <is>
          <t>Maintenance Manager</t>
        </is>
      </c>
      <c r="H54" t="inlineStr">
        <is>
          <t>Mitigation plan in place</t>
        </is>
      </c>
      <c r="I54" s="4" t="n">
        <v>46124.76746446259</v>
      </c>
      <c r="J54" t="inlineStr">
        <is>
          <t>Closed</t>
        </is>
      </c>
    </row>
    <row r="55">
      <c r="A55" t="inlineStr">
        <is>
          <t>R054</t>
        </is>
      </c>
      <c r="B55" t="inlineStr">
        <is>
          <t>Support Services</t>
        </is>
      </c>
      <c r="C55" t="inlineStr">
        <is>
          <t>Incorrect machining tolerance on shaft</t>
        </is>
      </c>
      <c r="D55" t="n">
        <v>5</v>
      </c>
      <c r="E55" t="n">
        <v>3</v>
      </c>
      <c r="F55">
        <f>D55*E55</f>
        <v/>
      </c>
      <c r="G55" t="inlineStr">
        <is>
          <t>Maintenance Manager</t>
        </is>
      </c>
      <c r="H55" t="inlineStr">
        <is>
          <t>Mitigation plan in place</t>
        </is>
      </c>
      <c r="I55" s="4" t="n">
        <v>46103.76746446259</v>
      </c>
      <c r="J55" t="inlineStr">
        <is>
          <t>Open</t>
        </is>
      </c>
    </row>
    <row r="56">
      <c r="A56" t="inlineStr">
        <is>
          <t>R055</t>
        </is>
      </c>
      <c r="B56" t="inlineStr">
        <is>
          <t>Procurement</t>
        </is>
      </c>
      <c r="C56" t="inlineStr">
        <is>
          <t>Smelter cooling failure</t>
        </is>
      </c>
      <c r="D56" t="n">
        <v>4</v>
      </c>
      <c r="E56" t="n">
        <v>3</v>
      </c>
      <c r="F56">
        <f>D56*E56</f>
        <v/>
      </c>
      <c r="G56" t="inlineStr">
        <is>
          <t>Projects Manager</t>
        </is>
      </c>
      <c r="H56" t="inlineStr">
        <is>
          <t>Mitigation plan in place</t>
        </is>
      </c>
      <c r="I56" s="4" t="n">
        <v>46084.76746446259</v>
      </c>
      <c r="J56" t="inlineStr">
        <is>
          <t>Open</t>
        </is>
      </c>
    </row>
    <row r="57">
      <c r="A57" t="inlineStr">
        <is>
          <t>R056</t>
        </is>
      </c>
      <c r="B57" t="inlineStr">
        <is>
          <t>Quality Control / Inspection</t>
        </is>
      </c>
      <c r="C57" t="inlineStr">
        <is>
          <t>Seal failure on mine drainage pump</t>
        </is>
      </c>
      <c r="D57" t="n">
        <v>1</v>
      </c>
      <c r="E57" t="n">
        <v>2</v>
      </c>
      <c r="F57">
        <f>D57*E57</f>
        <v/>
      </c>
      <c r="G57" t="inlineStr">
        <is>
          <t>Ops Manager</t>
        </is>
      </c>
      <c r="H57" t="inlineStr">
        <is>
          <t>Mitigation plan in place</t>
        </is>
      </c>
      <c r="I57" s="4" t="n">
        <v>46159.76746446259</v>
      </c>
      <c r="J57" t="inlineStr">
        <is>
          <t>Open</t>
        </is>
      </c>
    </row>
    <row r="58">
      <c r="A58" t="inlineStr">
        <is>
          <t>R057</t>
        </is>
      </c>
      <c r="B58" t="inlineStr">
        <is>
          <t>Quality Control / Inspection</t>
        </is>
      </c>
      <c r="C58" t="inlineStr">
        <is>
          <t>Unbalanced rotor on pump overhaul</t>
        </is>
      </c>
      <c r="D58" t="n">
        <v>3</v>
      </c>
      <c r="E58" t="n">
        <v>5</v>
      </c>
      <c r="F58">
        <f>D58*E58</f>
        <v/>
      </c>
      <c r="G58" t="inlineStr">
        <is>
          <t>Quality Manager</t>
        </is>
      </c>
      <c r="H58" t="inlineStr">
        <is>
          <t>Mitigation plan in place</t>
        </is>
      </c>
      <c r="I58" s="4" t="n">
        <v>46077.76746446259</v>
      </c>
      <c r="J58" t="inlineStr">
        <is>
          <t>Mitigated</t>
        </is>
      </c>
    </row>
    <row r="59">
      <c r="A59" t="inlineStr">
        <is>
          <t>R058</t>
        </is>
      </c>
      <c r="B59" t="inlineStr">
        <is>
          <t>Quality Control / Inspection</t>
        </is>
      </c>
      <c r="C59" t="inlineStr">
        <is>
          <t>Boiler tube leak causing unplanned shutdown</t>
        </is>
      </c>
      <c r="D59" t="n">
        <v>5</v>
      </c>
      <c r="E59" t="n">
        <v>3</v>
      </c>
      <c r="F59">
        <f>D59*E59</f>
        <v/>
      </c>
      <c r="G59" t="inlineStr">
        <is>
          <t>Quality Manager</t>
        </is>
      </c>
      <c r="H59" t="inlineStr">
        <is>
          <t>Mitigation plan in place</t>
        </is>
      </c>
      <c r="I59" s="4" t="n">
        <v>46137.76746446259</v>
      </c>
      <c r="J59" t="inlineStr">
        <is>
          <t>Mitigated</t>
        </is>
      </c>
    </row>
    <row r="60">
      <c r="A60" t="inlineStr">
        <is>
          <t>R059</t>
        </is>
      </c>
      <c r="B60" t="inlineStr">
        <is>
          <t>Sales &amp; Customer Engagement</t>
        </is>
      </c>
      <c r="C60" t="inlineStr">
        <is>
          <t>Late delivery of critical consumables</t>
        </is>
      </c>
      <c r="D60" t="n">
        <v>5</v>
      </c>
      <c r="E60" t="n">
        <v>1</v>
      </c>
      <c r="F60">
        <f>D60*E60</f>
        <v/>
      </c>
      <c r="G60" t="inlineStr">
        <is>
          <t>Projects Manager</t>
        </is>
      </c>
      <c r="H60" t="inlineStr">
        <is>
          <t>Mitigation plan in place</t>
        </is>
      </c>
      <c r="I60" s="4" t="n">
        <v>46053.76746446259</v>
      </c>
      <c r="J60" t="inlineStr">
        <is>
          <t>Mitigated</t>
        </is>
      </c>
    </row>
    <row r="61">
      <c r="A61" t="inlineStr">
        <is>
          <t>R060</t>
        </is>
      </c>
      <c r="B61" t="inlineStr">
        <is>
          <t>Management &amp; Leadership</t>
        </is>
      </c>
      <c r="C61" t="inlineStr">
        <is>
          <t>Unbalanced rotor on pump overhaul</t>
        </is>
      </c>
      <c r="D61" t="n">
        <v>1</v>
      </c>
      <c r="E61" t="n">
        <v>1</v>
      </c>
      <c r="F61">
        <f>D61*E61</f>
        <v/>
      </c>
      <c r="G61" t="inlineStr">
        <is>
          <t>Maintenance Manager</t>
        </is>
      </c>
      <c r="H61" t="inlineStr">
        <is>
          <t>Mitigation plan in place</t>
        </is>
      </c>
      <c r="I61" s="4" t="n">
        <v>46144.76746446259</v>
      </c>
      <c r="J61" t="inlineStr">
        <is>
          <t>Closed</t>
        </is>
      </c>
    </row>
    <row r="62">
      <c r="A62" t="inlineStr">
        <is>
          <t>R061</t>
        </is>
      </c>
      <c r="B62" t="inlineStr">
        <is>
          <t>Production / Operations</t>
        </is>
      </c>
      <c r="C62" t="inlineStr">
        <is>
          <t>Incorrect material spec on rolling stock component</t>
        </is>
      </c>
      <c r="D62" t="n">
        <v>3</v>
      </c>
      <c r="E62" t="n">
        <v>2</v>
      </c>
      <c r="F62">
        <f>D62*E62</f>
        <v/>
      </c>
      <c r="G62" t="inlineStr">
        <is>
          <t>Ops Manager</t>
        </is>
      </c>
      <c r="H62" t="inlineStr">
        <is>
          <t>Mitigation plan in place</t>
        </is>
      </c>
      <c r="I62" s="4" t="n">
        <v>46081.76746446259</v>
      </c>
      <c r="J62" t="inlineStr">
        <is>
          <t>Open</t>
        </is>
      </c>
    </row>
    <row r="63">
      <c r="A63" t="inlineStr">
        <is>
          <t>R062</t>
        </is>
      </c>
      <c r="B63" t="inlineStr">
        <is>
          <t>Support Services</t>
        </is>
      </c>
      <c r="C63" t="inlineStr">
        <is>
          <t>Seal failure on mine drainage pump</t>
        </is>
      </c>
      <c r="D63" t="n">
        <v>1</v>
      </c>
      <c r="E63" t="n">
        <v>5</v>
      </c>
      <c r="F63">
        <f>D63*E63</f>
        <v/>
      </c>
      <c r="G63" t="inlineStr">
        <is>
          <t>Quality Manager</t>
        </is>
      </c>
      <c r="H63" t="inlineStr">
        <is>
          <t>Mitigation plan in place</t>
        </is>
      </c>
      <c r="I63" s="4" t="n">
        <v>46143.76746446259</v>
      </c>
      <c r="J63" t="inlineStr">
        <is>
          <t>Closed</t>
        </is>
      </c>
    </row>
    <row r="64">
      <c r="A64" t="inlineStr">
        <is>
          <t>R063</t>
        </is>
      </c>
      <c r="B64" t="inlineStr">
        <is>
          <t>Sales &amp; Customer Engagement</t>
        </is>
      </c>
      <c r="C64" t="inlineStr">
        <is>
          <t>Furnace refractory failure</t>
        </is>
      </c>
      <c r="D64" t="n">
        <v>4</v>
      </c>
      <c r="E64" t="n">
        <v>3</v>
      </c>
      <c r="F64">
        <f>D64*E64</f>
        <v/>
      </c>
      <c r="G64" t="inlineStr">
        <is>
          <t>Projects Manager</t>
        </is>
      </c>
      <c r="H64" t="inlineStr">
        <is>
          <t>Mitigation plan in place</t>
        </is>
      </c>
      <c r="I64" s="4" t="n">
        <v>46038.76746446259</v>
      </c>
      <c r="J64" t="inlineStr">
        <is>
          <t>Mitigated</t>
        </is>
      </c>
    </row>
    <row r="65">
      <c r="A65" t="inlineStr">
        <is>
          <t>R064</t>
        </is>
      </c>
      <c r="B65" t="inlineStr">
        <is>
          <t>Production / Operations</t>
        </is>
      </c>
      <c r="C65" t="inlineStr">
        <is>
          <t>Furnace refractory failure</t>
        </is>
      </c>
      <c r="D65" t="n">
        <v>2</v>
      </c>
      <c r="E65" t="n">
        <v>1</v>
      </c>
      <c r="F65">
        <f>D65*E65</f>
        <v/>
      </c>
      <c r="G65" t="inlineStr">
        <is>
          <t>Projects Manager</t>
        </is>
      </c>
      <c r="H65" t="inlineStr">
        <is>
          <t>Mitigation plan in place</t>
        </is>
      </c>
      <c r="I65" s="4" t="n">
        <v>46145.76746446259</v>
      </c>
      <c r="J65" t="inlineStr">
        <is>
          <t>Closed</t>
        </is>
      </c>
    </row>
    <row r="66">
      <c r="A66" t="inlineStr">
        <is>
          <t>R065</t>
        </is>
      </c>
      <c r="B66" t="inlineStr">
        <is>
          <t>Support Services</t>
        </is>
      </c>
      <c r="C66" t="inlineStr">
        <is>
          <t>Boiler tube leak causing unplanned shutdown</t>
        </is>
      </c>
      <c r="D66" t="n">
        <v>5</v>
      </c>
      <c r="E66" t="n">
        <v>5</v>
      </c>
      <c r="F66">
        <f>D66*E66</f>
        <v/>
      </c>
      <c r="G66" t="inlineStr">
        <is>
          <t>Projects Manager</t>
        </is>
      </c>
      <c r="H66" t="inlineStr">
        <is>
          <t>Mitigation plan in place</t>
        </is>
      </c>
      <c r="I66" s="4" t="n">
        <v>46073.76746446259</v>
      </c>
      <c r="J66" t="inlineStr">
        <is>
          <t>Closed</t>
        </is>
      </c>
    </row>
    <row r="67">
      <c r="A67" t="inlineStr">
        <is>
          <t>R066</t>
        </is>
      </c>
      <c r="B67" t="inlineStr">
        <is>
          <t>Logistics / Delivery</t>
        </is>
      </c>
      <c r="C67" t="inlineStr">
        <is>
          <t>Late delivery of critical consumables</t>
        </is>
      </c>
      <c r="D67" t="n">
        <v>2</v>
      </c>
      <c r="E67" t="n">
        <v>5</v>
      </c>
      <c r="F67">
        <f>D67*E67</f>
        <v/>
      </c>
      <c r="G67" t="inlineStr">
        <is>
          <t>Projects Manager</t>
        </is>
      </c>
      <c r="H67" t="inlineStr">
        <is>
          <t>Mitigation plan in place</t>
        </is>
      </c>
      <c r="I67" s="4" t="n">
        <v>46055.76746446259</v>
      </c>
      <c r="J67" t="inlineStr">
        <is>
          <t>Closed</t>
        </is>
      </c>
    </row>
    <row r="68">
      <c r="A68" t="inlineStr">
        <is>
          <t>R067</t>
        </is>
      </c>
      <c r="B68" t="inlineStr">
        <is>
          <t>Design &amp; Engineering</t>
        </is>
      </c>
      <c r="C68" t="inlineStr">
        <is>
          <t>Incorrect machining tolerance on shaft</t>
        </is>
      </c>
      <c r="D68" t="n">
        <v>1</v>
      </c>
      <c r="E68" t="n">
        <v>3</v>
      </c>
      <c r="F68">
        <f>D68*E68</f>
        <v/>
      </c>
      <c r="G68" t="inlineStr">
        <is>
          <t>Maintenance Manager</t>
        </is>
      </c>
      <c r="H68" t="inlineStr">
        <is>
          <t>Mitigation plan in place</t>
        </is>
      </c>
      <c r="I68" s="4" t="n">
        <v>46048.76746446259</v>
      </c>
      <c r="J68" t="inlineStr">
        <is>
          <t>Closed</t>
        </is>
      </c>
    </row>
    <row r="69">
      <c r="A69" t="inlineStr">
        <is>
          <t>R068</t>
        </is>
      </c>
      <c r="B69" t="inlineStr">
        <is>
          <t>Procurement</t>
        </is>
      </c>
      <c r="C69" t="inlineStr">
        <is>
          <t>Unbalanced rotor on pump overhaul</t>
        </is>
      </c>
      <c r="D69" t="n">
        <v>3</v>
      </c>
      <c r="E69" t="n">
        <v>3</v>
      </c>
      <c r="F69">
        <f>D69*E69</f>
        <v/>
      </c>
      <c r="G69" t="inlineStr">
        <is>
          <t>Quality Manager</t>
        </is>
      </c>
      <c r="H69" t="inlineStr">
        <is>
          <t>Mitigation plan in place</t>
        </is>
      </c>
      <c r="I69" s="4" t="n">
        <v>46078.76746446259</v>
      </c>
      <c r="J69" t="inlineStr">
        <is>
          <t>Mitigated</t>
        </is>
      </c>
    </row>
    <row r="70">
      <c r="A70" t="inlineStr">
        <is>
          <t>R069</t>
        </is>
      </c>
      <c r="B70" t="inlineStr">
        <is>
          <t>Design &amp; Engineering</t>
        </is>
      </c>
      <c r="C70" t="inlineStr">
        <is>
          <t>Incorrect material spec on rolling stock component</t>
        </is>
      </c>
      <c r="D70" t="n">
        <v>5</v>
      </c>
      <c r="E70" t="n">
        <v>5</v>
      </c>
      <c r="F70">
        <f>D70*E70</f>
        <v/>
      </c>
      <c r="G70" t="inlineStr">
        <is>
          <t>Quality Manager</t>
        </is>
      </c>
      <c r="H70" t="inlineStr">
        <is>
          <t>Mitigation plan in place</t>
        </is>
      </c>
      <c r="I70" s="4" t="n">
        <v>46040.76746446259</v>
      </c>
      <c r="J70" t="inlineStr">
        <is>
          <t>Mitigated</t>
        </is>
      </c>
    </row>
    <row r="71">
      <c r="A71" t="inlineStr">
        <is>
          <t>R070</t>
        </is>
      </c>
      <c r="B71" t="inlineStr">
        <is>
          <t>Sales &amp; Customer Engagement</t>
        </is>
      </c>
      <c r="C71" t="inlineStr">
        <is>
          <t>Unbalanced rotor on pump overhaul</t>
        </is>
      </c>
      <c r="D71" t="n">
        <v>2</v>
      </c>
      <c r="E71" t="n">
        <v>1</v>
      </c>
      <c r="F71">
        <f>D71*E71</f>
        <v/>
      </c>
      <c r="G71" t="inlineStr">
        <is>
          <t>Projects Manager</t>
        </is>
      </c>
      <c r="H71" t="inlineStr">
        <is>
          <t>Mitigation plan in place</t>
        </is>
      </c>
      <c r="I71" s="4" t="n">
        <v>46129.76746446259</v>
      </c>
      <c r="J71" t="inlineStr">
        <is>
          <t>Mitigated</t>
        </is>
      </c>
    </row>
    <row r="72">
      <c r="A72" t="inlineStr">
        <is>
          <t>R071</t>
        </is>
      </c>
      <c r="B72" t="inlineStr">
        <is>
          <t>Sales &amp; Customer Engagement</t>
        </is>
      </c>
      <c r="C72" t="inlineStr">
        <is>
          <t>Incorrect material spec on rolling stock component</t>
        </is>
      </c>
      <c r="D72" t="n">
        <v>1</v>
      </c>
      <c r="E72" t="n">
        <v>5</v>
      </c>
      <c r="F72">
        <f>D72*E72</f>
        <v/>
      </c>
      <c r="G72" t="inlineStr">
        <is>
          <t>Projects Manager</t>
        </is>
      </c>
      <c r="H72" t="inlineStr">
        <is>
          <t>Mitigation plan in place</t>
        </is>
      </c>
      <c r="I72" s="4" t="n">
        <v>46116.76746446259</v>
      </c>
      <c r="J72" t="inlineStr">
        <is>
          <t>Mitigated</t>
        </is>
      </c>
    </row>
    <row r="73">
      <c r="A73" t="inlineStr">
        <is>
          <t>R072</t>
        </is>
      </c>
      <c r="B73" t="inlineStr">
        <is>
          <t>Improvement</t>
        </is>
      </c>
      <c r="C73" t="inlineStr">
        <is>
          <t>Seal failure on mine drainage pump</t>
        </is>
      </c>
      <c r="D73" t="n">
        <v>1</v>
      </c>
      <c r="E73" t="n">
        <v>1</v>
      </c>
      <c r="F73">
        <f>D73*E73</f>
        <v/>
      </c>
      <c r="G73" t="inlineStr">
        <is>
          <t>Maintenance Manager</t>
        </is>
      </c>
      <c r="H73" t="inlineStr">
        <is>
          <t>Mitigation plan in place</t>
        </is>
      </c>
      <c r="I73" s="4" t="n">
        <v>46087.76746446259</v>
      </c>
      <c r="J73" t="inlineStr">
        <is>
          <t>Open</t>
        </is>
      </c>
    </row>
    <row r="74">
      <c r="A74" t="inlineStr">
        <is>
          <t>R073</t>
        </is>
      </c>
      <c r="B74" t="inlineStr">
        <is>
          <t>Design &amp; Engineering</t>
        </is>
      </c>
      <c r="C74" t="inlineStr">
        <is>
          <t>Seal failure on mine drainage pump</t>
        </is>
      </c>
      <c r="D74" t="n">
        <v>2</v>
      </c>
      <c r="E74" t="n">
        <v>5</v>
      </c>
      <c r="F74">
        <f>D74*E74</f>
        <v/>
      </c>
      <c r="G74" t="inlineStr">
        <is>
          <t>Quality Manager</t>
        </is>
      </c>
      <c r="H74" t="inlineStr">
        <is>
          <t>Mitigation plan in place</t>
        </is>
      </c>
      <c r="I74" s="4" t="n">
        <v>46014.76746446259</v>
      </c>
      <c r="J74" t="inlineStr">
        <is>
          <t>Mitigated</t>
        </is>
      </c>
    </row>
    <row r="75">
      <c r="A75" t="inlineStr">
        <is>
          <t>R074</t>
        </is>
      </c>
      <c r="B75" t="inlineStr">
        <is>
          <t>Procurement</t>
        </is>
      </c>
      <c r="C75" t="inlineStr">
        <is>
          <t>Worn ladle lining causing metal spill risk</t>
        </is>
      </c>
      <c r="D75" t="n">
        <v>3</v>
      </c>
      <c r="E75" t="n">
        <v>1</v>
      </c>
      <c r="F75">
        <f>D75*E75</f>
        <v/>
      </c>
      <c r="G75" t="inlineStr">
        <is>
          <t>Ops Manager</t>
        </is>
      </c>
      <c r="H75" t="inlineStr">
        <is>
          <t>Mitigation plan in place</t>
        </is>
      </c>
      <c r="I75" s="4" t="n">
        <v>46041.76746446259</v>
      </c>
      <c r="J75" t="inlineStr">
        <is>
          <t>Open</t>
        </is>
      </c>
    </row>
    <row r="76">
      <c r="A76" t="inlineStr">
        <is>
          <t>R075</t>
        </is>
      </c>
      <c r="B76" t="inlineStr">
        <is>
          <t>Sales &amp; Customer Engagement</t>
        </is>
      </c>
      <c r="C76" t="inlineStr">
        <is>
          <t>Seal failure on mine drainage pump</t>
        </is>
      </c>
      <c r="D76" t="n">
        <v>5</v>
      </c>
      <c r="E76" t="n">
        <v>1</v>
      </c>
      <c r="F76">
        <f>D76*E76</f>
        <v/>
      </c>
      <c r="G76" t="inlineStr">
        <is>
          <t>Quality Manager</t>
        </is>
      </c>
      <c r="H76" t="inlineStr">
        <is>
          <t>Mitigation plan in place</t>
        </is>
      </c>
      <c r="I76" s="4" t="n">
        <v>46159.76746446259</v>
      </c>
      <c r="J76" t="inlineStr">
        <is>
          <t>Closed</t>
        </is>
      </c>
    </row>
    <row r="77">
      <c r="A77" t="inlineStr">
        <is>
          <t>R076</t>
        </is>
      </c>
      <c r="B77" t="inlineStr">
        <is>
          <t>Design &amp; Engineering</t>
        </is>
      </c>
      <c r="C77" t="inlineStr">
        <is>
          <t>Incorrect impeller clearance on plant pump</t>
        </is>
      </c>
      <c r="D77" t="n">
        <v>5</v>
      </c>
      <c r="E77" t="n">
        <v>2</v>
      </c>
      <c r="F77">
        <f>D77*E77</f>
        <v/>
      </c>
      <c r="G77" t="inlineStr">
        <is>
          <t>Ops Manager</t>
        </is>
      </c>
      <c r="H77" t="inlineStr">
        <is>
          <t>Mitigation plan in place</t>
        </is>
      </c>
      <c r="I77" s="4" t="n">
        <v>46057.76746446259</v>
      </c>
      <c r="J77" t="inlineStr">
        <is>
          <t>Closed</t>
        </is>
      </c>
    </row>
    <row r="78">
      <c r="A78" t="inlineStr">
        <is>
          <t>R077</t>
        </is>
      </c>
      <c r="B78" t="inlineStr">
        <is>
          <t>Support Services</t>
        </is>
      </c>
      <c r="C78" t="inlineStr">
        <is>
          <t>Incorrect material spec on rolling stock component</t>
        </is>
      </c>
      <c r="D78" t="n">
        <v>1</v>
      </c>
      <c r="E78" t="n">
        <v>2</v>
      </c>
      <c r="F78">
        <f>D78*E78</f>
        <v/>
      </c>
      <c r="G78" t="inlineStr">
        <is>
          <t>Maintenance Manager</t>
        </is>
      </c>
      <c r="H78" t="inlineStr">
        <is>
          <t>Mitigation plan in place</t>
        </is>
      </c>
      <c r="I78" s="4" t="n">
        <v>46087.76746446259</v>
      </c>
      <c r="J78" t="inlineStr">
        <is>
          <t>Mitigated</t>
        </is>
      </c>
    </row>
    <row r="79">
      <c r="A79" t="inlineStr">
        <is>
          <t>R078</t>
        </is>
      </c>
      <c r="B79" t="inlineStr">
        <is>
          <t>Management &amp; Leadership</t>
        </is>
      </c>
      <c r="C79" t="inlineStr">
        <is>
          <t>Incorrect material spec on rolling stock component</t>
        </is>
      </c>
      <c r="D79" t="n">
        <v>5</v>
      </c>
      <c r="E79" t="n">
        <v>3</v>
      </c>
      <c r="F79">
        <f>D79*E79</f>
        <v/>
      </c>
      <c r="G79" t="inlineStr">
        <is>
          <t>Ops Manager</t>
        </is>
      </c>
      <c r="H79" t="inlineStr">
        <is>
          <t>Mitigation plan in place</t>
        </is>
      </c>
      <c r="I79" s="4" t="n">
        <v>46145.76746446259</v>
      </c>
      <c r="J79" t="inlineStr">
        <is>
          <t>Closed</t>
        </is>
      </c>
    </row>
    <row r="80">
      <c r="A80" t="inlineStr">
        <is>
          <t>R079</t>
        </is>
      </c>
      <c r="B80" t="inlineStr">
        <is>
          <t>Quality Control / Inspection</t>
        </is>
      </c>
      <c r="C80" t="inlineStr">
        <is>
          <t>Worn ladle lining causing metal spill risk</t>
        </is>
      </c>
      <c r="D80" t="n">
        <v>5</v>
      </c>
      <c r="E80" t="n">
        <v>5</v>
      </c>
      <c r="F80">
        <f>D80*E80</f>
        <v/>
      </c>
      <c r="G80" t="inlineStr">
        <is>
          <t>Maintenance Manager</t>
        </is>
      </c>
      <c r="H80" t="inlineStr">
        <is>
          <t>Mitigation plan in place</t>
        </is>
      </c>
      <c r="I80" s="4" t="n">
        <v>46093.76746446259</v>
      </c>
      <c r="J80" t="inlineStr">
        <is>
          <t>Closed</t>
        </is>
      </c>
    </row>
    <row r="81">
      <c r="A81" t="inlineStr">
        <is>
          <t>R080</t>
        </is>
      </c>
      <c r="B81" t="inlineStr">
        <is>
          <t>Quality Control / Inspection</t>
        </is>
      </c>
      <c r="C81" t="inlineStr">
        <is>
          <t>Worn ladle lining causing metal spill risk</t>
        </is>
      </c>
      <c r="D81" t="n">
        <v>2</v>
      </c>
      <c r="E81" t="n">
        <v>5</v>
      </c>
      <c r="F81">
        <f>D81*E81</f>
        <v/>
      </c>
      <c r="G81" t="inlineStr">
        <is>
          <t>Quality Manager</t>
        </is>
      </c>
      <c r="H81" t="inlineStr">
        <is>
          <t>Mitigation plan in place</t>
        </is>
      </c>
      <c r="I81" s="4" t="n">
        <v>46048.76746446259</v>
      </c>
      <c r="J81" t="inlineStr">
        <is>
          <t>Open</t>
        </is>
      </c>
    </row>
  </sheetData>
  <conditionalFormatting sqref="F2:F500">
    <cfRule type="cellIs" priority="1" operator="greaterThan" dxfId="0">
      <formula>12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2" customWidth="1" min="5" max="5"/>
    <col width="15" customWidth="1" min="6" max="6"/>
    <col width="15" customWidth="1" min="7" max="7"/>
    <col width="15" customWidth="1" min="8" max="8"/>
  </cols>
  <sheetData>
    <row r="1">
      <c r="A1" s="3" t="inlineStr">
        <is>
          <t>NCR No</t>
        </is>
      </c>
      <c r="B1" s="3" t="inlineStr">
        <is>
          <t>Date</t>
        </is>
      </c>
      <c r="C1" s="3" t="inlineStr">
        <is>
          <t>Source</t>
        </is>
      </c>
      <c r="D1" s="3" t="inlineStr">
        <is>
          <t>Description</t>
        </is>
      </c>
      <c r="E1" s="3" t="inlineStr">
        <is>
          <t>Immediate Correction</t>
        </is>
      </c>
      <c r="F1" s="3" t="inlineStr">
        <is>
          <t>Linked CAPA</t>
        </is>
      </c>
      <c r="G1" s="3" t="inlineStr">
        <is>
          <t>Owner</t>
        </is>
      </c>
      <c r="H1" s="3" t="inlineStr">
        <is>
          <t>Status</t>
        </is>
      </c>
    </row>
    <row r="2">
      <c r="A2" t="inlineStr">
        <is>
          <t>NCR001</t>
        </is>
      </c>
      <c r="B2" s="4" t="n">
        <v>45984.76746446259</v>
      </c>
      <c r="C2" t="inlineStr">
        <is>
          <t>Final Inspection</t>
        </is>
      </c>
      <c r="D2" t="inlineStr">
        <is>
          <t>Incorrect impeller clearance on pump overhaul</t>
        </is>
      </c>
      <c r="E2" t="inlineStr">
        <is>
          <t>Correction implemented</t>
        </is>
      </c>
      <c r="F2" t="inlineStr">
        <is>
          <t>CAPA001</t>
        </is>
      </c>
      <c r="G2" t="inlineStr">
        <is>
          <t>Maintenance Manager</t>
        </is>
      </c>
      <c r="H2" t="inlineStr">
        <is>
          <t>Under Review</t>
        </is>
      </c>
    </row>
    <row r="3">
      <c r="A3" t="inlineStr">
        <is>
          <t>NCR002</t>
        </is>
      </c>
      <c r="B3" s="4" t="n">
        <v>45912.76746446259</v>
      </c>
      <c r="C3" t="inlineStr">
        <is>
          <t>In-Process Inspection</t>
        </is>
      </c>
      <c r="D3" t="inlineStr">
        <is>
          <t>Dimensional deviation on machined shaft</t>
        </is>
      </c>
      <c r="E3" t="inlineStr">
        <is>
          <t>Correction implemented</t>
        </is>
      </c>
      <c r="F3" t="inlineStr">
        <is>
          <t>CAPA002</t>
        </is>
      </c>
      <c r="G3" t="inlineStr">
        <is>
          <t>Maintenance Manager</t>
        </is>
      </c>
      <c r="H3" t="inlineStr">
        <is>
          <t>Open</t>
        </is>
      </c>
    </row>
    <row r="4">
      <c r="A4" t="inlineStr">
        <is>
          <t>NCR003</t>
        </is>
      </c>
      <c r="B4" s="4" t="n">
        <v>46052.76746446259</v>
      </c>
      <c r="C4" t="inlineStr">
        <is>
          <t>In-Process Inspection</t>
        </is>
      </c>
      <c r="D4" t="inlineStr">
        <is>
          <t>Incorrect hardness on roll</t>
        </is>
      </c>
      <c r="E4" t="inlineStr">
        <is>
          <t>Correction implemented</t>
        </is>
      </c>
      <c r="F4" t="inlineStr">
        <is>
          <t>CAPA003</t>
        </is>
      </c>
      <c r="G4" t="inlineStr">
        <is>
          <t>Quality Manager</t>
        </is>
      </c>
      <c r="H4" t="inlineStr">
        <is>
          <t>Open</t>
        </is>
      </c>
    </row>
    <row r="5">
      <c r="A5" t="inlineStr">
        <is>
          <t>NCR004</t>
        </is>
      </c>
      <c r="B5" s="4" t="n">
        <v>46029.76746446259</v>
      </c>
      <c r="C5" t="inlineStr">
        <is>
          <t>Internal Audit</t>
        </is>
      </c>
      <c r="D5" t="inlineStr">
        <is>
          <t>Incorrect paint spec on mining equipment</t>
        </is>
      </c>
      <c r="E5" t="inlineStr">
        <is>
          <t>Correction implemented</t>
        </is>
      </c>
      <c r="F5" t="inlineStr">
        <is>
          <t>CAPA004</t>
        </is>
      </c>
      <c r="G5" t="inlineStr">
        <is>
          <t>Maintenance Manager</t>
        </is>
      </c>
      <c r="H5" t="inlineStr">
        <is>
          <t>Under Review</t>
        </is>
      </c>
    </row>
    <row r="6">
      <c r="A6" t="inlineStr">
        <is>
          <t>NCR005</t>
        </is>
      </c>
      <c r="B6" s="4" t="n">
        <v>46043.76746446259</v>
      </c>
      <c r="C6" t="inlineStr">
        <is>
          <t>Final Inspection</t>
        </is>
      </c>
      <c r="D6" t="inlineStr">
        <is>
          <t>Incorrect hardness on roll</t>
        </is>
      </c>
      <c r="E6" t="inlineStr">
        <is>
          <t>Correction implemented</t>
        </is>
      </c>
      <c r="F6" t="inlineStr"/>
      <c r="G6" t="inlineStr">
        <is>
          <t>Projects Manager</t>
        </is>
      </c>
      <c r="H6" t="inlineStr">
        <is>
          <t>Under Review</t>
        </is>
      </c>
    </row>
    <row r="7">
      <c r="A7" t="inlineStr">
        <is>
          <t>NCR006</t>
        </is>
      </c>
      <c r="B7" s="4" t="n">
        <v>45946.76746446259</v>
      </c>
      <c r="C7" t="inlineStr">
        <is>
          <t>Final Inspection</t>
        </is>
      </c>
      <c r="D7" t="inlineStr">
        <is>
          <t>Incorrect impeller clearance on pump overhaul</t>
        </is>
      </c>
      <c r="E7" t="inlineStr">
        <is>
          <t>Correction implemented</t>
        </is>
      </c>
      <c r="F7" t="inlineStr">
        <is>
          <t>CAPA006</t>
        </is>
      </c>
      <c r="G7" t="inlineStr">
        <is>
          <t>Maintenance Manager</t>
        </is>
      </c>
      <c r="H7" t="inlineStr">
        <is>
          <t>Closed</t>
        </is>
      </c>
    </row>
    <row r="8">
      <c r="A8" t="inlineStr">
        <is>
          <t>NCR007</t>
        </is>
      </c>
      <c r="B8" s="4" t="n">
        <v>45992.76746446259</v>
      </c>
      <c r="C8" t="inlineStr">
        <is>
          <t>In-Process Inspection</t>
        </is>
      </c>
      <c r="D8" t="inlineStr">
        <is>
          <t>Incorrect hardness on roll</t>
        </is>
      </c>
      <c r="E8" t="inlineStr">
        <is>
          <t>Correction implemented</t>
        </is>
      </c>
      <c r="F8" t="inlineStr">
        <is>
          <t>CAPA007</t>
        </is>
      </c>
      <c r="G8" t="inlineStr">
        <is>
          <t>Maintenance Manager</t>
        </is>
      </c>
      <c r="H8" t="inlineStr">
        <is>
          <t>Under Review</t>
        </is>
      </c>
    </row>
    <row r="9">
      <c r="A9" t="inlineStr">
        <is>
          <t>NCR008</t>
        </is>
      </c>
      <c r="B9" s="4" t="n">
        <v>45907.76746446259</v>
      </c>
      <c r="C9" t="inlineStr">
        <is>
          <t>In-Process Inspection</t>
        </is>
      </c>
      <c r="D9" t="inlineStr">
        <is>
          <t>Weld defect on furnace shell</t>
        </is>
      </c>
      <c r="E9" t="inlineStr">
        <is>
          <t>Correction implemented</t>
        </is>
      </c>
      <c r="F9" t="inlineStr">
        <is>
          <t>CAPA008</t>
        </is>
      </c>
      <c r="G9" t="inlineStr">
        <is>
          <t>Projects Manager</t>
        </is>
      </c>
      <c r="H9" t="inlineStr">
        <is>
          <t>Under Review</t>
        </is>
      </c>
    </row>
    <row r="10">
      <c r="A10" t="inlineStr">
        <is>
          <t>NCR009</t>
        </is>
      </c>
      <c r="B10" s="4" t="n">
        <v>45942.76746446259</v>
      </c>
      <c r="C10" t="inlineStr">
        <is>
          <t>Internal Audit</t>
        </is>
      </c>
      <c r="D10" t="inlineStr">
        <is>
          <t>Wrong material certificate for boiler tube</t>
        </is>
      </c>
      <c r="E10" t="inlineStr">
        <is>
          <t>Correction implemented</t>
        </is>
      </c>
      <c r="F10" t="inlineStr">
        <is>
          <t>CAPA009</t>
        </is>
      </c>
      <c r="G10" t="inlineStr">
        <is>
          <t>Maintenance Manager</t>
        </is>
      </c>
      <c r="H10" t="inlineStr">
        <is>
          <t>Closed</t>
        </is>
      </c>
    </row>
    <row r="11">
      <c r="A11" t="inlineStr">
        <is>
          <t>NCR010</t>
        </is>
      </c>
      <c r="B11" s="4" t="n">
        <v>45957.76746446259</v>
      </c>
      <c r="C11" t="inlineStr">
        <is>
          <t>Internal Audit</t>
        </is>
      </c>
      <c r="D11" t="inlineStr">
        <is>
          <t>Incorrect paint spec on mining equipment</t>
        </is>
      </c>
      <c r="E11" t="inlineStr">
        <is>
          <t>Correction implemented</t>
        </is>
      </c>
      <c r="F11" t="inlineStr">
        <is>
          <t>CAPA010</t>
        </is>
      </c>
      <c r="G11" t="inlineStr">
        <is>
          <t>Projects Manager</t>
        </is>
      </c>
      <c r="H11" t="inlineStr">
        <is>
          <t>Open</t>
        </is>
      </c>
    </row>
    <row r="12">
      <c r="A12" t="inlineStr">
        <is>
          <t>NCR011</t>
        </is>
      </c>
      <c r="B12" s="4" t="n">
        <v>45994.76746446259</v>
      </c>
      <c r="C12" t="inlineStr">
        <is>
          <t>Internal Audit</t>
        </is>
      </c>
      <c r="D12" t="inlineStr">
        <is>
          <t>Incorrect impeller clearance on pump overhaul</t>
        </is>
      </c>
      <c r="E12" t="inlineStr">
        <is>
          <t>Correction implemented</t>
        </is>
      </c>
      <c r="F12" t="inlineStr">
        <is>
          <t>CAPA011</t>
        </is>
      </c>
      <c r="G12" t="inlineStr">
        <is>
          <t>Quality Manager</t>
        </is>
      </c>
      <c r="H12" t="inlineStr">
        <is>
          <t>Closed</t>
        </is>
      </c>
    </row>
    <row r="13">
      <c r="A13" t="inlineStr">
        <is>
          <t>NCR012</t>
        </is>
      </c>
      <c r="B13" s="4" t="n">
        <v>46001.76746446259</v>
      </c>
      <c r="C13" t="inlineStr">
        <is>
          <t>In-Process Inspection</t>
        </is>
      </c>
      <c r="D13" t="inlineStr">
        <is>
          <t>Incorrect hardness on roll</t>
        </is>
      </c>
      <c r="E13" t="inlineStr">
        <is>
          <t>Correction implemented</t>
        </is>
      </c>
      <c r="F13" t="inlineStr"/>
      <c r="G13" t="inlineStr">
        <is>
          <t>Quality Manager</t>
        </is>
      </c>
      <c r="H13" t="inlineStr">
        <is>
          <t>Open</t>
        </is>
      </c>
    </row>
    <row r="14">
      <c r="A14" t="inlineStr">
        <is>
          <t>NCR013</t>
        </is>
      </c>
      <c r="B14" s="4" t="n">
        <v>45964.76746446259</v>
      </c>
      <c r="C14" t="inlineStr">
        <is>
          <t>Internal Audit</t>
        </is>
      </c>
      <c r="D14" t="inlineStr">
        <is>
          <t>Dimensional deviation on machined shaft</t>
        </is>
      </c>
      <c r="E14" t="inlineStr">
        <is>
          <t>Correction implemented</t>
        </is>
      </c>
      <c r="F14" t="inlineStr"/>
      <c r="G14" t="inlineStr">
        <is>
          <t>Quality Manager</t>
        </is>
      </c>
      <c r="H14" t="inlineStr">
        <is>
          <t>Closed</t>
        </is>
      </c>
    </row>
    <row r="15">
      <c r="A15" t="inlineStr">
        <is>
          <t>NCR014</t>
        </is>
      </c>
      <c r="B15" s="4" t="n">
        <v>45938.76746446259</v>
      </c>
      <c r="C15" t="inlineStr">
        <is>
          <t>Final Inspection</t>
        </is>
      </c>
      <c r="D15" t="inlineStr">
        <is>
          <t>Incorrect paint spec on mining equipment</t>
        </is>
      </c>
      <c r="E15" t="inlineStr">
        <is>
          <t>Correction implemented</t>
        </is>
      </c>
      <c r="F15" t="inlineStr">
        <is>
          <t>CAPA014</t>
        </is>
      </c>
      <c r="G15" t="inlineStr">
        <is>
          <t>Ops Manager</t>
        </is>
      </c>
      <c r="H15" t="inlineStr">
        <is>
          <t>Open</t>
        </is>
      </c>
    </row>
    <row r="16">
      <c r="A16" t="inlineStr">
        <is>
          <t>NCR015</t>
        </is>
      </c>
      <c r="B16" s="4" t="n">
        <v>45981.76746446259</v>
      </c>
      <c r="C16" t="inlineStr">
        <is>
          <t>Customer Complaint</t>
        </is>
      </c>
      <c r="D16" t="inlineStr">
        <is>
          <t>Weld defect on furnace shell</t>
        </is>
      </c>
      <c r="E16" t="inlineStr">
        <is>
          <t>Correction implemented</t>
        </is>
      </c>
      <c r="F16" t="inlineStr">
        <is>
          <t>CAPA015</t>
        </is>
      </c>
      <c r="G16" t="inlineStr">
        <is>
          <t>Projects Manager</t>
        </is>
      </c>
      <c r="H16" t="inlineStr">
        <is>
          <t>Open</t>
        </is>
      </c>
    </row>
    <row r="17">
      <c r="A17" t="inlineStr">
        <is>
          <t>NCR016</t>
        </is>
      </c>
      <c r="B17" s="4" t="n">
        <v>45927.76746446259</v>
      </c>
      <c r="C17" t="inlineStr">
        <is>
          <t>Customer Complaint</t>
        </is>
      </c>
      <c r="D17" t="inlineStr">
        <is>
          <t>Wrong material certificate for boiler tube</t>
        </is>
      </c>
      <c r="E17" t="inlineStr">
        <is>
          <t>Correction implemented</t>
        </is>
      </c>
      <c r="F17" t="inlineStr">
        <is>
          <t>CAPA016</t>
        </is>
      </c>
      <c r="G17" t="inlineStr">
        <is>
          <t>Ops Manager</t>
        </is>
      </c>
      <c r="H17" t="inlineStr">
        <is>
          <t>Open</t>
        </is>
      </c>
    </row>
    <row r="18">
      <c r="A18" t="inlineStr">
        <is>
          <t>NCR017</t>
        </is>
      </c>
      <c r="B18" s="4" t="n">
        <v>45954.76746446259</v>
      </c>
      <c r="C18" t="inlineStr">
        <is>
          <t>In-Process Inspection</t>
        </is>
      </c>
      <c r="D18" t="inlineStr">
        <is>
          <t>Missing documentation on dispatch</t>
        </is>
      </c>
      <c r="E18" t="inlineStr">
        <is>
          <t>Correction implemented</t>
        </is>
      </c>
      <c r="F18" t="inlineStr">
        <is>
          <t>CAPA017</t>
        </is>
      </c>
      <c r="G18" t="inlineStr">
        <is>
          <t>Projects Manager</t>
        </is>
      </c>
      <c r="H18" t="inlineStr">
        <is>
          <t>Open</t>
        </is>
      </c>
    </row>
    <row r="19">
      <c r="A19" t="inlineStr">
        <is>
          <t>NCR018</t>
        </is>
      </c>
      <c r="B19" s="4" t="n">
        <v>45894.76746446259</v>
      </c>
      <c r="C19" t="inlineStr">
        <is>
          <t>In-Process Inspection</t>
        </is>
      </c>
      <c r="D19" t="inlineStr">
        <is>
          <t>Missing documentation on dispatch</t>
        </is>
      </c>
      <c r="E19" t="inlineStr">
        <is>
          <t>Correction implemented</t>
        </is>
      </c>
      <c r="F19" t="inlineStr">
        <is>
          <t>CAPA018</t>
        </is>
      </c>
      <c r="G19" t="inlineStr">
        <is>
          <t>Maintenance Manager</t>
        </is>
      </c>
      <c r="H19" t="inlineStr">
        <is>
          <t>Open</t>
        </is>
      </c>
    </row>
    <row r="20">
      <c r="A20" t="inlineStr">
        <is>
          <t>NCR019</t>
        </is>
      </c>
      <c r="B20" s="4" t="n">
        <v>45921.76746446259</v>
      </c>
      <c r="C20" t="inlineStr">
        <is>
          <t>Final Inspection</t>
        </is>
      </c>
      <c r="D20" t="inlineStr">
        <is>
          <t>Missing documentation on dispatch</t>
        </is>
      </c>
      <c r="E20" t="inlineStr">
        <is>
          <t>Correction implemented</t>
        </is>
      </c>
      <c r="F20" t="inlineStr"/>
      <c r="G20" t="inlineStr">
        <is>
          <t>Quality Manager</t>
        </is>
      </c>
      <c r="H20" t="inlineStr">
        <is>
          <t>Open</t>
        </is>
      </c>
    </row>
    <row r="21">
      <c r="A21" t="inlineStr">
        <is>
          <t>NCR020</t>
        </is>
      </c>
      <c r="B21" s="4" t="n">
        <v>45937.76746446259</v>
      </c>
      <c r="C21" t="inlineStr">
        <is>
          <t>Internal Audit</t>
        </is>
      </c>
      <c r="D21" t="inlineStr">
        <is>
          <t>Incorrect hardness on roll</t>
        </is>
      </c>
      <c r="E21" t="inlineStr">
        <is>
          <t>Correction implemented</t>
        </is>
      </c>
      <c r="F21" t="inlineStr">
        <is>
          <t>CAPA020</t>
        </is>
      </c>
      <c r="G21" t="inlineStr">
        <is>
          <t>Quality Manager</t>
        </is>
      </c>
      <c r="H21" t="inlineStr">
        <is>
          <t>Open</t>
        </is>
      </c>
    </row>
    <row r="22">
      <c r="A22" t="inlineStr">
        <is>
          <t>NCR021</t>
        </is>
      </c>
      <c r="B22" s="4" t="n">
        <v>46062.76746446259</v>
      </c>
      <c r="C22" t="inlineStr">
        <is>
          <t>Customer Complaint</t>
        </is>
      </c>
      <c r="D22" t="inlineStr">
        <is>
          <t>Wrong material certificate for boiler tube</t>
        </is>
      </c>
      <c r="E22" t="inlineStr">
        <is>
          <t>Correction implemented</t>
        </is>
      </c>
      <c r="F22" t="inlineStr"/>
      <c r="G22" t="inlineStr">
        <is>
          <t>Maintenance Manager</t>
        </is>
      </c>
      <c r="H22" t="inlineStr">
        <is>
          <t>Under Review</t>
        </is>
      </c>
    </row>
    <row r="23">
      <c r="A23" t="inlineStr">
        <is>
          <t>NCR022</t>
        </is>
      </c>
      <c r="B23" s="4" t="n">
        <v>46024.76746446259</v>
      </c>
      <c r="C23" t="inlineStr">
        <is>
          <t>Internal Audit</t>
        </is>
      </c>
      <c r="D23" t="inlineStr">
        <is>
          <t>Missing documentation on dispatch</t>
        </is>
      </c>
      <c r="E23" t="inlineStr">
        <is>
          <t>Correction implemented</t>
        </is>
      </c>
      <c r="F23" t="inlineStr"/>
      <c r="G23" t="inlineStr">
        <is>
          <t>Maintenance Manager</t>
        </is>
      </c>
      <c r="H23" t="inlineStr">
        <is>
          <t>Under Review</t>
        </is>
      </c>
    </row>
    <row r="24">
      <c r="A24" t="inlineStr">
        <is>
          <t>NCR023</t>
        </is>
      </c>
      <c r="B24" s="4" t="n">
        <v>46016.76746446259</v>
      </c>
      <c r="C24" t="inlineStr">
        <is>
          <t>In-Process Inspection</t>
        </is>
      </c>
      <c r="D24" t="inlineStr">
        <is>
          <t>Wrong material certificate for boiler tube</t>
        </is>
      </c>
      <c r="E24" t="inlineStr">
        <is>
          <t>Correction implemented</t>
        </is>
      </c>
      <c r="F24" t="inlineStr">
        <is>
          <t>CAPA023</t>
        </is>
      </c>
      <c r="G24" t="inlineStr">
        <is>
          <t>Ops Manager</t>
        </is>
      </c>
      <c r="H24" t="inlineStr">
        <is>
          <t>Under Review</t>
        </is>
      </c>
    </row>
    <row r="25">
      <c r="A25" t="inlineStr">
        <is>
          <t>NCR024</t>
        </is>
      </c>
      <c r="B25" s="4" t="n">
        <v>45995.76746446259</v>
      </c>
      <c r="C25" t="inlineStr">
        <is>
          <t>In-Process Inspection</t>
        </is>
      </c>
      <c r="D25" t="inlineStr">
        <is>
          <t>Dimensional deviation on machined shaft</t>
        </is>
      </c>
      <c r="E25" t="inlineStr">
        <is>
          <t>Correction implemented</t>
        </is>
      </c>
      <c r="F25" t="inlineStr"/>
      <c r="G25" t="inlineStr">
        <is>
          <t>Projects Manager</t>
        </is>
      </c>
      <c r="H25" t="inlineStr">
        <is>
          <t>Under Review</t>
        </is>
      </c>
    </row>
    <row r="26">
      <c r="A26" t="inlineStr">
        <is>
          <t>NCR025</t>
        </is>
      </c>
      <c r="B26" s="4" t="n">
        <v>46008.76746446259</v>
      </c>
      <c r="C26" t="inlineStr">
        <is>
          <t>Final Inspection</t>
        </is>
      </c>
      <c r="D26" t="inlineStr">
        <is>
          <t>Incorrect impeller clearance on pump overhaul</t>
        </is>
      </c>
      <c r="E26" t="inlineStr">
        <is>
          <t>Correction implemented</t>
        </is>
      </c>
      <c r="F26" t="inlineStr">
        <is>
          <t>CAPA025</t>
        </is>
      </c>
      <c r="G26" t="inlineStr">
        <is>
          <t>Projects Manager</t>
        </is>
      </c>
      <c r="H26" t="inlineStr">
        <is>
          <t>Open</t>
        </is>
      </c>
    </row>
    <row r="27">
      <c r="A27" t="inlineStr">
        <is>
          <t>NCR026</t>
        </is>
      </c>
      <c r="B27" s="4" t="n">
        <v>45927.76746446259</v>
      </c>
      <c r="C27" t="inlineStr">
        <is>
          <t>In-Process Inspection</t>
        </is>
      </c>
      <c r="D27" t="inlineStr">
        <is>
          <t>Incorrect paint spec on mining equipment</t>
        </is>
      </c>
      <c r="E27" t="inlineStr">
        <is>
          <t>Correction implemented</t>
        </is>
      </c>
      <c r="F27" t="inlineStr">
        <is>
          <t>CAPA026</t>
        </is>
      </c>
      <c r="G27" t="inlineStr">
        <is>
          <t>Quality Manager</t>
        </is>
      </c>
      <c r="H27" t="inlineStr">
        <is>
          <t>Open</t>
        </is>
      </c>
    </row>
    <row r="28">
      <c r="A28" t="inlineStr">
        <is>
          <t>NCR027</t>
        </is>
      </c>
      <c r="B28" s="4" t="n">
        <v>45940.76746446259</v>
      </c>
      <c r="C28" t="inlineStr">
        <is>
          <t>Final Inspection</t>
        </is>
      </c>
      <c r="D28" t="inlineStr">
        <is>
          <t>Missing documentation on dispatch</t>
        </is>
      </c>
      <c r="E28" t="inlineStr">
        <is>
          <t>Correction implemented</t>
        </is>
      </c>
      <c r="F28" t="inlineStr">
        <is>
          <t>CAPA027</t>
        </is>
      </c>
      <c r="G28" t="inlineStr">
        <is>
          <t>Quality Manager</t>
        </is>
      </c>
      <c r="H28" t="inlineStr">
        <is>
          <t>Under Review</t>
        </is>
      </c>
    </row>
    <row r="29">
      <c r="A29" t="inlineStr">
        <is>
          <t>NCR028</t>
        </is>
      </c>
      <c r="B29" s="4" t="n">
        <v>45971.76746446259</v>
      </c>
      <c r="C29" t="inlineStr">
        <is>
          <t>In-Process Inspection</t>
        </is>
      </c>
      <c r="D29" t="inlineStr">
        <is>
          <t>Wrong material certificate for boiler tube</t>
        </is>
      </c>
      <c r="E29" t="inlineStr">
        <is>
          <t>Correction implemented</t>
        </is>
      </c>
      <c r="F29" t="inlineStr"/>
      <c r="G29" t="inlineStr">
        <is>
          <t>Projects Manager</t>
        </is>
      </c>
      <c r="H29" t="inlineStr">
        <is>
          <t>Open</t>
        </is>
      </c>
    </row>
    <row r="30">
      <c r="A30" t="inlineStr">
        <is>
          <t>NCR029</t>
        </is>
      </c>
      <c r="B30" s="4" t="n">
        <v>46070.76746446259</v>
      </c>
      <c r="C30" t="inlineStr">
        <is>
          <t>Customer Complaint</t>
        </is>
      </c>
      <c r="D30" t="inlineStr">
        <is>
          <t>Weld defect on furnace shell</t>
        </is>
      </c>
      <c r="E30" t="inlineStr">
        <is>
          <t>Correction implemented</t>
        </is>
      </c>
      <c r="F30" t="inlineStr"/>
      <c r="G30" t="inlineStr">
        <is>
          <t>Ops Manager</t>
        </is>
      </c>
      <c r="H30" t="inlineStr">
        <is>
          <t>Open</t>
        </is>
      </c>
    </row>
    <row r="31">
      <c r="A31" t="inlineStr">
        <is>
          <t>NCR030</t>
        </is>
      </c>
      <c r="B31" s="4" t="n">
        <v>45947.76746446259</v>
      </c>
      <c r="C31" t="inlineStr">
        <is>
          <t>Customer Complaint</t>
        </is>
      </c>
      <c r="D31" t="inlineStr">
        <is>
          <t>Wrong material certificate for boiler tube</t>
        </is>
      </c>
      <c r="E31" t="inlineStr">
        <is>
          <t>Correction implemented</t>
        </is>
      </c>
      <c r="F31" t="inlineStr">
        <is>
          <t>CAPA030</t>
        </is>
      </c>
      <c r="G31" t="inlineStr">
        <is>
          <t>Projects Manager</t>
        </is>
      </c>
      <c r="H31" t="inlineStr">
        <is>
          <t>Open</t>
        </is>
      </c>
    </row>
    <row r="32">
      <c r="A32" t="inlineStr">
        <is>
          <t>NCR031</t>
        </is>
      </c>
      <c r="B32" s="4" t="n">
        <v>46029.76746446259</v>
      </c>
      <c r="C32" t="inlineStr">
        <is>
          <t>In-Process Inspection</t>
        </is>
      </c>
      <c r="D32" t="inlineStr">
        <is>
          <t>Wrong material certificate for boiler tube</t>
        </is>
      </c>
      <c r="E32" t="inlineStr">
        <is>
          <t>Correction implemented</t>
        </is>
      </c>
      <c r="F32" t="inlineStr"/>
      <c r="G32" t="inlineStr">
        <is>
          <t>Quality Manager</t>
        </is>
      </c>
      <c r="H32" t="inlineStr">
        <is>
          <t>Closed</t>
        </is>
      </c>
    </row>
    <row r="33">
      <c r="A33" t="inlineStr">
        <is>
          <t>NCR032</t>
        </is>
      </c>
      <c r="B33" s="4" t="n">
        <v>45894.76746446259</v>
      </c>
      <c r="C33" t="inlineStr">
        <is>
          <t>Final Inspection</t>
        </is>
      </c>
      <c r="D33" t="inlineStr">
        <is>
          <t>Incorrect impeller clearance on pump overhaul</t>
        </is>
      </c>
      <c r="E33" t="inlineStr">
        <is>
          <t>Correction implemented</t>
        </is>
      </c>
      <c r="F33" t="inlineStr"/>
      <c r="G33" t="inlineStr">
        <is>
          <t>Quality Manager</t>
        </is>
      </c>
      <c r="H33" t="inlineStr">
        <is>
          <t>Under Review</t>
        </is>
      </c>
    </row>
    <row r="34">
      <c r="A34" t="inlineStr">
        <is>
          <t>NCR033</t>
        </is>
      </c>
      <c r="B34" s="4" t="n">
        <v>46069.76746446259</v>
      </c>
      <c r="C34" t="inlineStr">
        <is>
          <t>Internal Audit</t>
        </is>
      </c>
      <c r="D34" t="inlineStr">
        <is>
          <t>Missing documentation on dispatch</t>
        </is>
      </c>
      <c r="E34" t="inlineStr">
        <is>
          <t>Correction implemented</t>
        </is>
      </c>
      <c r="F34" t="inlineStr">
        <is>
          <t>CAPA033</t>
        </is>
      </c>
      <c r="G34" t="inlineStr">
        <is>
          <t>Ops Manager</t>
        </is>
      </c>
      <c r="H34" t="inlineStr">
        <is>
          <t>Under Review</t>
        </is>
      </c>
    </row>
    <row r="35">
      <c r="A35" t="inlineStr">
        <is>
          <t>NCR034</t>
        </is>
      </c>
      <c r="B35" s="4" t="n">
        <v>45996.76746446259</v>
      </c>
      <c r="C35" t="inlineStr">
        <is>
          <t>In-Process Inspection</t>
        </is>
      </c>
      <c r="D35" t="inlineStr">
        <is>
          <t>Incorrect hardness on roll</t>
        </is>
      </c>
      <c r="E35" t="inlineStr">
        <is>
          <t>Correction implemented</t>
        </is>
      </c>
      <c r="F35" t="inlineStr"/>
      <c r="G35" t="inlineStr">
        <is>
          <t>Quality Manager</t>
        </is>
      </c>
      <c r="H35" t="inlineStr">
        <is>
          <t>Open</t>
        </is>
      </c>
    </row>
    <row r="36">
      <c r="A36" t="inlineStr">
        <is>
          <t>NCR035</t>
        </is>
      </c>
      <c r="B36" s="4" t="n">
        <v>45969.76746446259</v>
      </c>
      <c r="C36" t="inlineStr">
        <is>
          <t>Customer Complaint</t>
        </is>
      </c>
      <c r="D36" t="inlineStr">
        <is>
          <t>Incorrect hardness on roll</t>
        </is>
      </c>
      <c r="E36" t="inlineStr">
        <is>
          <t>Correction implemented</t>
        </is>
      </c>
      <c r="F36" t="inlineStr"/>
      <c r="G36" t="inlineStr">
        <is>
          <t>Maintenance Manager</t>
        </is>
      </c>
      <c r="H36" t="inlineStr">
        <is>
          <t>Open</t>
        </is>
      </c>
    </row>
    <row r="37">
      <c r="A37" t="inlineStr">
        <is>
          <t>NCR036</t>
        </is>
      </c>
      <c r="B37" s="4" t="n">
        <v>45918.76746446259</v>
      </c>
      <c r="C37" t="inlineStr">
        <is>
          <t>Final Inspection</t>
        </is>
      </c>
      <c r="D37" t="inlineStr">
        <is>
          <t>Missing documentation on dispatch</t>
        </is>
      </c>
      <c r="E37" t="inlineStr">
        <is>
          <t>Correction implemented</t>
        </is>
      </c>
      <c r="F37" t="inlineStr">
        <is>
          <t>CAPA036</t>
        </is>
      </c>
      <c r="G37" t="inlineStr">
        <is>
          <t>Quality Manager</t>
        </is>
      </c>
      <c r="H37" t="inlineStr">
        <is>
          <t>Open</t>
        </is>
      </c>
    </row>
    <row r="38">
      <c r="A38" t="inlineStr">
        <is>
          <t>NCR037</t>
        </is>
      </c>
      <c r="B38" s="4" t="n">
        <v>45905.76746446259</v>
      </c>
      <c r="C38" t="inlineStr">
        <is>
          <t>Internal Audit</t>
        </is>
      </c>
      <c r="D38" t="inlineStr">
        <is>
          <t>Wrong material certificate for boiler tube</t>
        </is>
      </c>
      <c r="E38" t="inlineStr">
        <is>
          <t>Correction implemented</t>
        </is>
      </c>
      <c r="F38" t="inlineStr"/>
      <c r="G38" t="inlineStr">
        <is>
          <t>Projects Manager</t>
        </is>
      </c>
      <c r="H38" t="inlineStr">
        <is>
          <t>Closed</t>
        </is>
      </c>
    </row>
    <row r="39">
      <c r="A39" t="inlineStr">
        <is>
          <t>NCR038</t>
        </is>
      </c>
      <c r="B39" s="4" t="n">
        <v>46047.76746446259</v>
      </c>
      <c r="C39" t="inlineStr">
        <is>
          <t>In-Process Inspection</t>
        </is>
      </c>
      <c r="D39" t="inlineStr">
        <is>
          <t>Wrong material certificate for boiler tube</t>
        </is>
      </c>
      <c r="E39" t="inlineStr">
        <is>
          <t>Correction implemented</t>
        </is>
      </c>
      <c r="F39" t="inlineStr">
        <is>
          <t>CAPA038</t>
        </is>
      </c>
      <c r="G39" t="inlineStr">
        <is>
          <t>Quality Manager</t>
        </is>
      </c>
      <c r="H39" t="inlineStr">
        <is>
          <t>Under Review</t>
        </is>
      </c>
    </row>
    <row r="40">
      <c r="A40" t="inlineStr">
        <is>
          <t>NCR039</t>
        </is>
      </c>
      <c r="B40" s="4" t="n">
        <v>45909.76746446259</v>
      </c>
      <c r="C40" t="inlineStr">
        <is>
          <t>Customer Complaint</t>
        </is>
      </c>
      <c r="D40" t="inlineStr">
        <is>
          <t>Dimensional deviation on machined shaft</t>
        </is>
      </c>
      <c r="E40" t="inlineStr">
        <is>
          <t>Correction implemented</t>
        </is>
      </c>
      <c r="F40" t="inlineStr">
        <is>
          <t>CAPA039</t>
        </is>
      </c>
      <c r="G40" t="inlineStr">
        <is>
          <t>Ops Manager</t>
        </is>
      </c>
      <c r="H40" t="inlineStr">
        <is>
          <t>Open</t>
        </is>
      </c>
    </row>
    <row r="41">
      <c r="A41" t="inlineStr">
        <is>
          <t>NCR040</t>
        </is>
      </c>
      <c r="B41" s="4" t="n">
        <v>45935.76746446259</v>
      </c>
      <c r="C41" t="inlineStr">
        <is>
          <t>Customer Complaint</t>
        </is>
      </c>
      <c r="D41" t="inlineStr">
        <is>
          <t>Missing documentation on dispatch</t>
        </is>
      </c>
      <c r="E41" t="inlineStr">
        <is>
          <t>Correction implemented</t>
        </is>
      </c>
      <c r="F41" t="inlineStr">
        <is>
          <t>CAPA040</t>
        </is>
      </c>
      <c r="G41" t="inlineStr">
        <is>
          <t>Maintenance Manager</t>
        </is>
      </c>
      <c r="H41" t="inlineStr">
        <is>
          <t>Closed</t>
        </is>
      </c>
    </row>
    <row r="42">
      <c r="A42" t="inlineStr">
        <is>
          <t>NCR041</t>
        </is>
      </c>
      <c r="B42" s="4" t="n">
        <v>46065.76746446259</v>
      </c>
      <c r="C42" t="inlineStr">
        <is>
          <t>Customer Complaint</t>
        </is>
      </c>
      <c r="D42" t="inlineStr">
        <is>
          <t>Dimensional deviation on machined shaft</t>
        </is>
      </c>
      <c r="E42" t="inlineStr">
        <is>
          <t>Correction implemented</t>
        </is>
      </c>
      <c r="F42" t="inlineStr">
        <is>
          <t>CAPA041</t>
        </is>
      </c>
      <c r="G42" t="inlineStr">
        <is>
          <t>Ops Manager</t>
        </is>
      </c>
      <c r="H42" t="inlineStr">
        <is>
          <t>Open</t>
        </is>
      </c>
    </row>
    <row r="43">
      <c r="A43" t="inlineStr">
        <is>
          <t>NCR042</t>
        </is>
      </c>
      <c r="B43" s="4" t="n">
        <v>45930.76746446259</v>
      </c>
      <c r="C43" t="inlineStr">
        <is>
          <t>In-Process Inspection</t>
        </is>
      </c>
      <c r="D43" t="inlineStr">
        <is>
          <t>Incorrect paint spec on mining equipment</t>
        </is>
      </c>
      <c r="E43" t="inlineStr">
        <is>
          <t>Correction implemented</t>
        </is>
      </c>
      <c r="F43" t="inlineStr">
        <is>
          <t>CAPA042</t>
        </is>
      </c>
      <c r="G43" t="inlineStr">
        <is>
          <t>Ops Manager</t>
        </is>
      </c>
      <c r="H43" t="inlineStr">
        <is>
          <t>Under Review</t>
        </is>
      </c>
    </row>
    <row r="44">
      <c r="A44" t="inlineStr">
        <is>
          <t>NCR043</t>
        </is>
      </c>
      <c r="B44" s="4" t="n">
        <v>45990.76746446259</v>
      </c>
      <c r="C44" t="inlineStr">
        <is>
          <t>Customer Complaint</t>
        </is>
      </c>
      <c r="D44" t="inlineStr">
        <is>
          <t>Incorrect paint spec on mining equipment</t>
        </is>
      </c>
      <c r="E44" t="inlineStr">
        <is>
          <t>Correction implemented</t>
        </is>
      </c>
      <c r="F44" t="inlineStr">
        <is>
          <t>CAPA043</t>
        </is>
      </c>
      <c r="G44" t="inlineStr">
        <is>
          <t>Quality Manager</t>
        </is>
      </c>
      <c r="H44" t="inlineStr">
        <is>
          <t>Under Review</t>
        </is>
      </c>
    </row>
    <row r="45">
      <c r="A45" t="inlineStr">
        <is>
          <t>NCR044</t>
        </is>
      </c>
      <c r="B45" s="4" t="n">
        <v>45917.76746446259</v>
      </c>
      <c r="C45" t="inlineStr">
        <is>
          <t>Customer Complaint</t>
        </is>
      </c>
      <c r="D45" t="inlineStr">
        <is>
          <t>Missing documentation on dispatch</t>
        </is>
      </c>
      <c r="E45" t="inlineStr">
        <is>
          <t>Correction implemented</t>
        </is>
      </c>
      <c r="F45" t="inlineStr"/>
      <c r="G45" t="inlineStr">
        <is>
          <t>Ops Manager</t>
        </is>
      </c>
      <c r="H45" t="inlineStr">
        <is>
          <t>Open</t>
        </is>
      </c>
    </row>
    <row r="46">
      <c r="A46" t="inlineStr">
        <is>
          <t>NCR045</t>
        </is>
      </c>
      <c r="B46" s="4" t="n">
        <v>46005.76746446259</v>
      </c>
      <c r="C46" t="inlineStr">
        <is>
          <t>Final Inspection</t>
        </is>
      </c>
      <c r="D46" t="inlineStr">
        <is>
          <t>Incorrect impeller clearance on pump overhaul</t>
        </is>
      </c>
      <c r="E46" t="inlineStr">
        <is>
          <t>Correction implemented</t>
        </is>
      </c>
      <c r="F46" t="inlineStr">
        <is>
          <t>CAPA045</t>
        </is>
      </c>
      <c r="G46" t="inlineStr">
        <is>
          <t>Maintenance Manager</t>
        </is>
      </c>
      <c r="H46" t="inlineStr">
        <is>
          <t>Closed</t>
        </is>
      </c>
    </row>
    <row r="47">
      <c r="A47" t="inlineStr">
        <is>
          <t>NCR046</t>
        </is>
      </c>
      <c r="B47" s="4" t="n">
        <v>45921.76746446259</v>
      </c>
      <c r="C47" t="inlineStr">
        <is>
          <t>Internal Audit</t>
        </is>
      </c>
      <c r="D47" t="inlineStr">
        <is>
          <t>Incorrect paint spec on mining equipment</t>
        </is>
      </c>
      <c r="E47" t="inlineStr">
        <is>
          <t>Correction implemented</t>
        </is>
      </c>
      <c r="F47" t="inlineStr"/>
      <c r="G47" t="inlineStr">
        <is>
          <t>Projects Manager</t>
        </is>
      </c>
      <c r="H47" t="inlineStr">
        <is>
          <t>Under Review</t>
        </is>
      </c>
    </row>
    <row r="48">
      <c r="A48" t="inlineStr">
        <is>
          <t>NCR047</t>
        </is>
      </c>
      <c r="B48" s="4" t="n">
        <v>45897.76746446259</v>
      </c>
      <c r="C48" t="inlineStr">
        <is>
          <t>In-Process Inspection</t>
        </is>
      </c>
      <c r="D48" t="inlineStr">
        <is>
          <t>Dimensional deviation on machined shaft</t>
        </is>
      </c>
      <c r="E48" t="inlineStr">
        <is>
          <t>Correction implemented</t>
        </is>
      </c>
      <c r="F48" t="inlineStr"/>
      <c r="G48" t="inlineStr">
        <is>
          <t>Projects Manager</t>
        </is>
      </c>
      <c r="H48" t="inlineStr">
        <is>
          <t>Under Review</t>
        </is>
      </c>
    </row>
    <row r="49">
      <c r="A49" t="inlineStr">
        <is>
          <t>NCR048</t>
        </is>
      </c>
      <c r="B49" s="4" t="n">
        <v>45949.76746446259</v>
      </c>
      <c r="C49" t="inlineStr">
        <is>
          <t>Customer Complaint</t>
        </is>
      </c>
      <c r="D49" t="inlineStr">
        <is>
          <t>Missing documentation on dispatch</t>
        </is>
      </c>
      <c r="E49" t="inlineStr">
        <is>
          <t>Correction implemented</t>
        </is>
      </c>
      <c r="F49" t="inlineStr">
        <is>
          <t>CAPA048</t>
        </is>
      </c>
      <c r="G49" t="inlineStr">
        <is>
          <t>Projects Manager</t>
        </is>
      </c>
      <c r="H49" t="inlineStr">
        <is>
          <t>Closed</t>
        </is>
      </c>
    </row>
    <row r="50">
      <c r="A50" t="inlineStr">
        <is>
          <t>NCR049</t>
        </is>
      </c>
      <c r="B50" s="4" t="n">
        <v>46046.76746446259</v>
      </c>
      <c r="C50" t="inlineStr">
        <is>
          <t>Final Inspection</t>
        </is>
      </c>
      <c r="D50" t="inlineStr">
        <is>
          <t>Incorrect impeller clearance on pump overhaul</t>
        </is>
      </c>
      <c r="E50" t="inlineStr">
        <is>
          <t>Correction implemented</t>
        </is>
      </c>
      <c r="F50" t="inlineStr"/>
      <c r="G50" t="inlineStr">
        <is>
          <t>Projects Manager</t>
        </is>
      </c>
      <c r="H50" t="inlineStr">
        <is>
          <t>Open</t>
        </is>
      </c>
    </row>
    <row r="51">
      <c r="A51" t="inlineStr">
        <is>
          <t>NCR050</t>
        </is>
      </c>
      <c r="B51" s="4" t="n">
        <v>45907.76746446259</v>
      </c>
      <c r="C51" t="inlineStr">
        <is>
          <t>Internal Audit</t>
        </is>
      </c>
      <c r="D51" t="inlineStr">
        <is>
          <t>Dimensional deviation on machined shaft</t>
        </is>
      </c>
      <c r="E51" t="inlineStr">
        <is>
          <t>Correction implemented</t>
        </is>
      </c>
      <c r="F51" t="inlineStr">
        <is>
          <t>CAPA050</t>
        </is>
      </c>
      <c r="G51" t="inlineStr">
        <is>
          <t>Ops Manager</t>
        </is>
      </c>
      <c r="H51" t="inlineStr">
        <is>
          <t>Under Review</t>
        </is>
      </c>
    </row>
    <row r="52">
      <c r="A52" t="inlineStr">
        <is>
          <t>NCR051</t>
        </is>
      </c>
      <c r="B52" s="4" t="n">
        <v>46057.76746446259</v>
      </c>
      <c r="C52" t="inlineStr">
        <is>
          <t>In-Process Inspection</t>
        </is>
      </c>
      <c r="D52" t="inlineStr">
        <is>
          <t>Weld defect on furnace shell</t>
        </is>
      </c>
      <c r="E52" t="inlineStr">
        <is>
          <t>Correction implemented</t>
        </is>
      </c>
      <c r="F52" t="inlineStr"/>
      <c r="G52" t="inlineStr">
        <is>
          <t>Maintenance Manager</t>
        </is>
      </c>
      <c r="H52" t="inlineStr">
        <is>
          <t>Closed</t>
        </is>
      </c>
    </row>
    <row r="53">
      <c r="A53" t="inlineStr">
        <is>
          <t>NCR052</t>
        </is>
      </c>
      <c r="B53" s="4" t="n">
        <v>45975.76746446259</v>
      </c>
      <c r="C53" t="inlineStr">
        <is>
          <t>In-Process Inspection</t>
        </is>
      </c>
      <c r="D53" t="inlineStr">
        <is>
          <t>Incorrect hardness on roll</t>
        </is>
      </c>
      <c r="E53" t="inlineStr">
        <is>
          <t>Correction implemented</t>
        </is>
      </c>
      <c r="F53" t="inlineStr"/>
      <c r="G53" t="inlineStr">
        <is>
          <t>Projects Manager</t>
        </is>
      </c>
      <c r="H53" t="inlineStr">
        <is>
          <t>Open</t>
        </is>
      </c>
    </row>
    <row r="54">
      <c r="A54" t="inlineStr">
        <is>
          <t>NCR053</t>
        </is>
      </c>
      <c r="B54" s="4" t="n">
        <v>46027.76746446259</v>
      </c>
      <c r="C54" t="inlineStr">
        <is>
          <t>In-Process Inspection</t>
        </is>
      </c>
      <c r="D54" t="inlineStr">
        <is>
          <t>Incorrect paint spec on mining equipment</t>
        </is>
      </c>
      <c r="E54" t="inlineStr">
        <is>
          <t>Correction implemented</t>
        </is>
      </c>
      <c r="F54" t="inlineStr"/>
      <c r="G54" t="inlineStr">
        <is>
          <t>Projects Manager</t>
        </is>
      </c>
      <c r="H54" t="inlineStr">
        <is>
          <t>Under Review</t>
        </is>
      </c>
    </row>
    <row r="55">
      <c r="A55" t="inlineStr">
        <is>
          <t>NCR054</t>
        </is>
      </c>
      <c r="B55" s="4" t="n">
        <v>46010.76746446259</v>
      </c>
      <c r="C55" t="inlineStr">
        <is>
          <t>Internal Audit</t>
        </is>
      </c>
      <c r="D55" t="inlineStr">
        <is>
          <t>Incorrect impeller clearance on pump overhaul</t>
        </is>
      </c>
      <c r="E55" t="inlineStr">
        <is>
          <t>Correction implemented</t>
        </is>
      </c>
      <c r="F55" t="inlineStr">
        <is>
          <t>CAPA054</t>
        </is>
      </c>
      <c r="G55" t="inlineStr">
        <is>
          <t>Maintenance Manager</t>
        </is>
      </c>
      <c r="H55" t="inlineStr">
        <is>
          <t>Under Review</t>
        </is>
      </c>
    </row>
    <row r="56">
      <c r="A56" t="inlineStr">
        <is>
          <t>NCR055</t>
        </is>
      </c>
      <c r="B56" s="4" t="n">
        <v>46008.76746446259</v>
      </c>
      <c r="C56" t="inlineStr">
        <is>
          <t>Internal Audit</t>
        </is>
      </c>
      <c r="D56" t="inlineStr">
        <is>
          <t>Incorrect paint spec on mining equipment</t>
        </is>
      </c>
      <c r="E56" t="inlineStr">
        <is>
          <t>Correction implemented</t>
        </is>
      </c>
      <c r="F56" t="inlineStr"/>
      <c r="G56" t="inlineStr">
        <is>
          <t>Ops Manager</t>
        </is>
      </c>
      <c r="H56" t="inlineStr">
        <is>
          <t>Open</t>
        </is>
      </c>
    </row>
    <row r="57">
      <c r="A57" t="inlineStr">
        <is>
          <t>NCR056</t>
        </is>
      </c>
      <c r="B57" s="4" t="n">
        <v>45948.76746446259</v>
      </c>
      <c r="C57" t="inlineStr">
        <is>
          <t>Final Inspection</t>
        </is>
      </c>
      <c r="D57" t="inlineStr">
        <is>
          <t>Weld defect on furnace shell</t>
        </is>
      </c>
      <c r="E57" t="inlineStr">
        <is>
          <t>Correction implemented</t>
        </is>
      </c>
      <c r="F57" t="inlineStr">
        <is>
          <t>CAPA056</t>
        </is>
      </c>
      <c r="G57" t="inlineStr">
        <is>
          <t>Maintenance Manager</t>
        </is>
      </c>
      <c r="H57" t="inlineStr">
        <is>
          <t>Open</t>
        </is>
      </c>
    </row>
    <row r="58">
      <c r="A58" t="inlineStr">
        <is>
          <t>NCR057</t>
        </is>
      </c>
      <c r="B58" s="4" t="n">
        <v>45987.76746446259</v>
      </c>
      <c r="C58" t="inlineStr">
        <is>
          <t>In-Process Inspection</t>
        </is>
      </c>
      <c r="D58" t="inlineStr">
        <is>
          <t>Incorrect impeller clearance on pump overhaul</t>
        </is>
      </c>
      <c r="E58" t="inlineStr">
        <is>
          <t>Correction implemented</t>
        </is>
      </c>
      <c r="F58" t="inlineStr">
        <is>
          <t>CAPA057</t>
        </is>
      </c>
      <c r="G58" t="inlineStr">
        <is>
          <t>Projects Manager</t>
        </is>
      </c>
      <c r="H58" t="inlineStr">
        <is>
          <t>Under Review</t>
        </is>
      </c>
    </row>
    <row r="59">
      <c r="A59" t="inlineStr">
        <is>
          <t>NCR058</t>
        </is>
      </c>
      <c r="B59" s="4" t="n">
        <v>46009.76746446259</v>
      </c>
      <c r="C59" t="inlineStr">
        <is>
          <t>Final Inspection</t>
        </is>
      </c>
      <c r="D59" t="inlineStr">
        <is>
          <t>Weld defect on furnace shell</t>
        </is>
      </c>
      <c r="E59" t="inlineStr">
        <is>
          <t>Correction implemented</t>
        </is>
      </c>
      <c r="F59" t="inlineStr">
        <is>
          <t>CAPA058</t>
        </is>
      </c>
      <c r="G59" t="inlineStr">
        <is>
          <t>Projects Manager</t>
        </is>
      </c>
      <c r="H59" t="inlineStr">
        <is>
          <t>Open</t>
        </is>
      </c>
    </row>
    <row r="60">
      <c r="A60" t="inlineStr">
        <is>
          <t>NCR059</t>
        </is>
      </c>
      <c r="B60" s="4" t="n">
        <v>46011.76746446259</v>
      </c>
      <c r="C60" t="inlineStr">
        <is>
          <t>Customer Complaint</t>
        </is>
      </c>
      <c r="D60" t="inlineStr">
        <is>
          <t>Incorrect hardness on roll</t>
        </is>
      </c>
      <c r="E60" t="inlineStr">
        <is>
          <t>Correction implemented</t>
        </is>
      </c>
      <c r="F60" t="inlineStr">
        <is>
          <t>CAPA059</t>
        </is>
      </c>
      <c r="G60" t="inlineStr">
        <is>
          <t>Projects Manager</t>
        </is>
      </c>
      <c r="H60" t="inlineStr">
        <is>
          <t>Open</t>
        </is>
      </c>
    </row>
    <row r="61">
      <c r="A61" t="inlineStr">
        <is>
          <t>NCR060</t>
        </is>
      </c>
      <c r="B61" s="4" t="n">
        <v>45934.76746446259</v>
      </c>
      <c r="C61" t="inlineStr">
        <is>
          <t>In-Process Inspection</t>
        </is>
      </c>
      <c r="D61" t="inlineStr">
        <is>
          <t>Incorrect impeller clearance on pump overhaul</t>
        </is>
      </c>
      <c r="E61" t="inlineStr">
        <is>
          <t>Correction implemented</t>
        </is>
      </c>
      <c r="F61" t="inlineStr">
        <is>
          <t>CAPA060</t>
        </is>
      </c>
      <c r="G61" t="inlineStr">
        <is>
          <t>Maintenance Manager</t>
        </is>
      </c>
      <c r="H61" t="inlineStr">
        <is>
          <t>Under Review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9" customWidth="1" min="5" max="5"/>
    <col width="15" customWidth="1" min="6" max="6"/>
    <col width="15" customWidth="1" min="7" max="7"/>
    <col width="17" customWidth="1" min="8" max="8"/>
    <col width="15" customWidth="1" min="9" max="9"/>
    <col width="15" customWidth="1" min="10" max="10"/>
  </cols>
  <sheetData>
    <row r="1">
      <c r="A1" s="3" t="inlineStr">
        <is>
          <t>CAPA No</t>
        </is>
      </c>
      <c r="B1" s="3" t="inlineStr">
        <is>
          <t>Linked NCR</t>
        </is>
      </c>
      <c r="C1" s="3" t="inlineStr">
        <is>
          <t>Date Raised</t>
        </is>
      </c>
      <c r="D1" s="3" t="inlineStr">
        <is>
          <t>Root Cause</t>
        </is>
      </c>
      <c r="E1" s="3" t="inlineStr">
        <is>
          <t>Corrective Action</t>
        </is>
      </c>
      <c r="F1" s="3" t="inlineStr">
        <is>
          <t>Owner</t>
        </is>
      </c>
      <c r="G1" s="3" t="inlineStr">
        <is>
          <t>Target Date</t>
        </is>
      </c>
      <c r="H1" s="3" t="inlineStr">
        <is>
          <t>Completion Date</t>
        </is>
      </c>
      <c r="I1" s="3" t="inlineStr">
        <is>
          <t>Effectiveness</t>
        </is>
      </c>
      <c r="J1" s="3" t="inlineStr">
        <is>
          <t>Status</t>
        </is>
      </c>
    </row>
    <row r="2">
      <c r="A2" t="inlineStr">
        <is>
          <t>CAPA001</t>
        </is>
      </c>
      <c r="B2" t="inlineStr">
        <is>
          <t>NCR001</t>
        </is>
      </c>
      <c r="C2" s="4" t="n">
        <v>46057.76746446259</v>
      </c>
      <c r="D2" t="inlineStr">
        <is>
          <t>Inadequate work instruction</t>
        </is>
      </c>
      <c r="E2" t="inlineStr">
        <is>
          <t>Update WI / retrain staff / improve inspection</t>
        </is>
      </c>
      <c r="F2" t="inlineStr">
        <is>
          <t>Maintenance Manager</t>
        </is>
      </c>
      <c r="G2" s="4" t="n">
        <v>46122.76746446259</v>
      </c>
      <c r="H2" s="4" t="n">
        <v>46145.76746446259</v>
      </c>
      <c r="I2" t="inlineStr">
        <is>
          <t>Not Verified</t>
        </is>
      </c>
      <c r="J2" t="inlineStr">
        <is>
          <t>Open</t>
        </is>
      </c>
    </row>
    <row r="3">
      <c r="A3" t="inlineStr">
        <is>
          <t>CAPA002</t>
        </is>
      </c>
      <c r="B3" t="inlineStr">
        <is>
          <t>NCR002</t>
        </is>
      </c>
      <c r="C3" s="4" t="n">
        <v>45902.76746446259</v>
      </c>
      <c r="D3" t="inlineStr">
        <is>
          <t>Supplier quality issue</t>
        </is>
      </c>
      <c r="E3" t="inlineStr">
        <is>
          <t>Update WI / retrain staff / improve inspection</t>
        </is>
      </c>
      <c r="F3" t="inlineStr">
        <is>
          <t>Quality Manager</t>
        </is>
      </c>
      <c r="G3" s="4" t="n">
        <v>45984.76746446259</v>
      </c>
      <c r="H3" s="4" t="n">
        <v>45980.76746446259</v>
      </c>
      <c r="I3" t="inlineStr">
        <is>
          <t>Partially Effective</t>
        </is>
      </c>
      <c r="J3" t="inlineStr">
        <is>
          <t>Open</t>
        </is>
      </c>
    </row>
    <row r="4">
      <c r="A4" t="inlineStr">
        <is>
          <t>CAPA003</t>
        </is>
      </c>
      <c r="B4" t="inlineStr">
        <is>
          <t>NCR003</t>
        </is>
      </c>
      <c r="C4" s="4" t="n">
        <v>45904.76746446259</v>
      </c>
      <c r="D4" t="inlineStr">
        <is>
          <t>Training gap on inspection</t>
        </is>
      </c>
      <c r="E4" t="inlineStr">
        <is>
          <t>Update WI / retrain staff / improve inspection</t>
        </is>
      </c>
      <c r="F4" t="inlineStr">
        <is>
          <t>Ops Manager</t>
        </is>
      </c>
      <c r="G4" s="4" t="n">
        <v>45930.76746446259</v>
      </c>
      <c r="H4" t="inlineStr"/>
      <c r="I4" t="inlineStr">
        <is>
          <t>Effective</t>
        </is>
      </c>
      <c r="J4" t="inlineStr">
        <is>
          <t>Closed</t>
        </is>
      </c>
    </row>
    <row r="5">
      <c r="A5" t="inlineStr">
        <is>
          <t>CAPA004</t>
        </is>
      </c>
      <c r="B5" t="inlineStr">
        <is>
          <t>NCR004</t>
        </is>
      </c>
      <c r="C5" s="4" t="n">
        <v>45880.76746446259</v>
      </c>
      <c r="D5" t="inlineStr">
        <is>
          <t>Poor maintenance planning</t>
        </is>
      </c>
      <c r="E5" t="inlineStr">
        <is>
          <t>Update WI / retrain staff / improve inspection</t>
        </is>
      </c>
      <c r="F5" t="inlineStr">
        <is>
          <t>Ops Manager</t>
        </is>
      </c>
      <c r="G5" s="4" t="n">
        <v>45915.76746446259</v>
      </c>
      <c r="H5" s="4" t="n">
        <v>45906.76746446259</v>
      </c>
      <c r="I5" t="inlineStr">
        <is>
          <t>Partially Effective</t>
        </is>
      </c>
      <c r="J5" t="inlineStr">
        <is>
          <t>Open</t>
        </is>
      </c>
    </row>
    <row r="6">
      <c r="A6" t="inlineStr">
        <is>
          <t>CAPA005</t>
        </is>
      </c>
      <c r="B6" t="inlineStr">
        <is>
          <t>NCR005</t>
        </is>
      </c>
      <c r="C6" s="4" t="n">
        <v>46030.76746446259</v>
      </c>
      <c r="D6" t="inlineStr">
        <is>
          <t>Inadequate work instruction</t>
        </is>
      </c>
      <c r="E6" t="inlineStr">
        <is>
          <t>Update WI / retrain staff / improve inspection</t>
        </is>
      </c>
      <c r="F6" t="inlineStr">
        <is>
          <t>Projects Manager</t>
        </is>
      </c>
      <c r="G6" s="4" t="n">
        <v>46062.76746446259</v>
      </c>
      <c r="H6" s="4" t="n">
        <v>46063.76746446259</v>
      </c>
      <c r="I6" t="inlineStr">
        <is>
          <t>Not Verified</t>
        </is>
      </c>
      <c r="J6" t="inlineStr">
        <is>
          <t>Overdue</t>
        </is>
      </c>
    </row>
    <row r="7">
      <c r="A7" t="inlineStr">
        <is>
          <t>CAPA006</t>
        </is>
      </c>
      <c r="B7" t="inlineStr">
        <is>
          <t>NCR006</t>
        </is>
      </c>
      <c r="C7" s="4" t="n">
        <v>46015.76746446259</v>
      </c>
      <c r="D7" t="inlineStr">
        <is>
          <t>Inadequate work instruction</t>
        </is>
      </c>
      <c r="E7" t="inlineStr">
        <is>
          <t>Update WI / retrain staff / improve inspection</t>
        </is>
      </c>
      <c r="F7" t="inlineStr">
        <is>
          <t>Maintenance Manager</t>
        </is>
      </c>
      <c r="G7" s="4" t="n">
        <v>46105.76746446259</v>
      </c>
      <c r="H7" s="4" t="n">
        <v>46129.76746446259</v>
      </c>
      <c r="I7" t="inlineStr">
        <is>
          <t>Partially Effective</t>
        </is>
      </c>
      <c r="J7" t="inlineStr">
        <is>
          <t>Closed</t>
        </is>
      </c>
    </row>
    <row r="8">
      <c r="A8" t="inlineStr">
        <is>
          <t>CAPA007</t>
        </is>
      </c>
      <c r="B8" t="inlineStr">
        <is>
          <t>NCR007</t>
        </is>
      </c>
      <c r="C8" s="4" t="n">
        <v>46045.76746446259</v>
      </c>
      <c r="D8" t="inlineStr">
        <is>
          <t>Supplier quality issue</t>
        </is>
      </c>
      <c r="E8" t="inlineStr">
        <is>
          <t>Update WI / retrain staff / improve inspection</t>
        </is>
      </c>
      <c r="F8" t="inlineStr">
        <is>
          <t>Maintenance Manager</t>
        </is>
      </c>
      <c r="G8" s="4" t="n">
        <v>46118.76746446259</v>
      </c>
      <c r="H8" t="inlineStr"/>
      <c r="I8" t="inlineStr">
        <is>
          <t>Partially Effective</t>
        </is>
      </c>
      <c r="J8" t="inlineStr">
        <is>
          <t>Open</t>
        </is>
      </c>
    </row>
    <row r="9">
      <c r="A9" t="inlineStr">
        <is>
          <t>CAPA008</t>
        </is>
      </c>
      <c r="B9" t="inlineStr">
        <is>
          <t>NCR008</t>
        </is>
      </c>
      <c r="C9" s="4" t="n">
        <v>45970.76746446259</v>
      </c>
      <c r="D9" t="inlineStr">
        <is>
          <t>Training gap on inspection</t>
        </is>
      </c>
      <c r="E9" t="inlineStr">
        <is>
          <t>Update WI / retrain staff / improve inspection</t>
        </is>
      </c>
      <c r="F9" t="inlineStr">
        <is>
          <t>Ops Manager</t>
        </is>
      </c>
      <c r="G9" s="4" t="n">
        <v>46020.76746446259</v>
      </c>
      <c r="H9" s="4" t="n">
        <v>46039.76746446259</v>
      </c>
      <c r="I9" t="inlineStr">
        <is>
          <t>Partially Effective</t>
        </is>
      </c>
      <c r="J9" t="inlineStr">
        <is>
          <t>Open</t>
        </is>
      </c>
    </row>
    <row r="10">
      <c r="A10" t="inlineStr">
        <is>
          <t>CAPA009</t>
        </is>
      </c>
      <c r="B10" t="inlineStr">
        <is>
          <t>NCR009</t>
        </is>
      </c>
      <c r="C10" s="4" t="n">
        <v>45939.76746446259</v>
      </c>
      <c r="D10" t="inlineStr">
        <is>
          <t>Poor maintenance planning</t>
        </is>
      </c>
      <c r="E10" t="inlineStr">
        <is>
          <t>Update WI / retrain staff / improve inspection</t>
        </is>
      </c>
      <c r="F10" t="inlineStr">
        <is>
          <t>Ops Manager</t>
        </is>
      </c>
      <c r="G10" s="4" t="n">
        <v>45960.76746446259</v>
      </c>
      <c r="H10" s="4" t="n">
        <v>45954.76746446259</v>
      </c>
      <c r="I10" t="inlineStr">
        <is>
          <t>Partially Effective</t>
        </is>
      </c>
      <c r="J10" t="inlineStr">
        <is>
          <t>Overdue</t>
        </is>
      </c>
    </row>
    <row r="11">
      <c r="A11" t="inlineStr">
        <is>
          <t>CAPA010</t>
        </is>
      </c>
      <c r="B11" t="inlineStr">
        <is>
          <t>NCR010</t>
        </is>
      </c>
      <c r="C11" s="4" t="n">
        <v>45929.76746446259</v>
      </c>
      <c r="D11" t="inlineStr">
        <is>
          <t>Incorrect drawing revision used</t>
        </is>
      </c>
      <c r="E11" t="inlineStr">
        <is>
          <t>Update WI / retrain staff / improve inspection</t>
        </is>
      </c>
      <c r="F11" t="inlineStr">
        <is>
          <t>Maintenance Manager</t>
        </is>
      </c>
      <c r="G11" s="4" t="n">
        <v>46008.76746446259</v>
      </c>
      <c r="H11" s="4" t="n">
        <v>46033.76746446259</v>
      </c>
      <c r="I11" t="inlineStr">
        <is>
          <t>Partially Effective</t>
        </is>
      </c>
      <c r="J11" t="inlineStr">
        <is>
          <t>Overdue</t>
        </is>
      </c>
    </row>
    <row r="12">
      <c r="A12" t="inlineStr">
        <is>
          <t>CAPA011</t>
        </is>
      </c>
      <c r="B12" t="inlineStr">
        <is>
          <t>NCR011</t>
        </is>
      </c>
      <c r="C12" s="4" t="n">
        <v>45943.76746446259</v>
      </c>
      <c r="D12" t="inlineStr">
        <is>
          <t>Training gap on inspection</t>
        </is>
      </c>
      <c r="E12" t="inlineStr">
        <is>
          <t>Update WI / retrain staff / improve inspection</t>
        </is>
      </c>
      <c r="F12" t="inlineStr">
        <is>
          <t>Ops Manager</t>
        </is>
      </c>
      <c r="G12" s="4" t="n">
        <v>45994.76746446259</v>
      </c>
      <c r="H12" t="inlineStr"/>
      <c r="I12" t="inlineStr">
        <is>
          <t>Effective</t>
        </is>
      </c>
      <c r="J12" t="inlineStr">
        <is>
          <t>Open</t>
        </is>
      </c>
    </row>
    <row r="13">
      <c r="A13" t="inlineStr">
        <is>
          <t>CAPA012</t>
        </is>
      </c>
      <c r="B13" t="inlineStr">
        <is>
          <t>NCR012</t>
        </is>
      </c>
      <c r="C13" s="4" t="n">
        <v>45988.76746446259</v>
      </c>
      <c r="D13" t="inlineStr">
        <is>
          <t>Inadequate work instruction</t>
        </is>
      </c>
      <c r="E13" t="inlineStr">
        <is>
          <t>Update WI / retrain staff / improve inspection</t>
        </is>
      </c>
      <c r="F13" t="inlineStr">
        <is>
          <t>Ops Manager</t>
        </is>
      </c>
      <c r="G13" s="4" t="n">
        <v>46009.76746446259</v>
      </c>
      <c r="H13" s="4" t="n">
        <v>46010.76746446259</v>
      </c>
      <c r="I13" t="inlineStr">
        <is>
          <t>Effective</t>
        </is>
      </c>
      <c r="J13" t="inlineStr">
        <is>
          <t>Overdue</t>
        </is>
      </c>
    </row>
    <row r="14">
      <c r="A14" t="inlineStr">
        <is>
          <t>CAPA013</t>
        </is>
      </c>
      <c r="B14" t="inlineStr">
        <is>
          <t>NCR013</t>
        </is>
      </c>
      <c r="C14" s="4" t="n">
        <v>46061.76746446259</v>
      </c>
      <c r="D14" t="inlineStr">
        <is>
          <t>Poor maintenance planning</t>
        </is>
      </c>
      <c r="E14" t="inlineStr">
        <is>
          <t>Update WI / retrain staff / improve inspection</t>
        </is>
      </c>
      <c r="F14" t="inlineStr">
        <is>
          <t>Ops Manager</t>
        </is>
      </c>
      <c r="G14" s="4" t="n">
        <v>46142.76746446259</v>
      </c>
      <c r="H14" t="inlineStr"/>
      <c r="I14" t="inlineStr">
        <is>
          <t>Partially Effective</t>
        </is>
      </c>
      <c r="J14" t="inlineStr">
        <is>
          <t>Open</t>
        </is>
      </c>
    </row>
    <row r="15">
      <c r="A15" t="inlineStr">
        <is>
          <t>CAPA014</t>
        </is>
      </c>
      <c r="B15" t="inlineStr">
        <is>
          <t>NCR014</t>
        </is>
      </c>
      <c r="C15" s="4" t="n">
        <v>45890.76746446259</v>
      </c>
      <c r="D15" t="inlineStr">
        <is>
          <t>Incorrect drawing revision used</t>
        </is>
      </c>
      <c r="E15" t="inlineStr">
        <is>
          <t>Update WI / retrain staff / improve inspection</t>
        </is>
      </c>
      <c r="F15" t="inlineStr">
        <is>
          <t>Ops Manager</t>
        </is>
      </c>
      <c r="G15" s="4" t="n">
        <v>45942.76746446259</v>
      </c>
      <c r="H15" t="inlineStr"/>
      <c r="I15" t="inlineStr">
        <is>
          <t>Effective</t>
        </is>
      </c>
      <c r="J15" t="inlineStr">
        <is>
          <t>Closed</t>
        </is>
      </c>
    </row>
    <row r="16">
      <c r="A16" t="inlineStr">
        <is>
          <t>CAPA015</t>
        </is>
      </c>
      <c r="B16" t="inlineStr">
        <is>
          <t>NCR015</t>
        </is>
      </c>
      <c r="C16" s="4" t="n">
        <v>46033.76746446259</v>
      </c>
      <c r="D16" t="inlineStr">
        <is>
          <t>Inadequate work instruction</t>
        </is>
      </c>
      <c r="E16" t="inlineStr">
        <is>
          <t>Update WI / retrain staff / improve inspection</t>
        </is>
      </c>
      <c r="F16" t="inlineStr">
        <is>
          <t>Quality Manager</t>
        </is>
      </c>
      <c r="G16" s="4" t="n">
        <v>46048.76746446259</v>
      </c>
      <c r="H16" s="4" t="n">
        <v>46075.76746446259</v>
      </c>
      <c r="I16" t="inlineStr">
        <is>
          <t>Not Verified</t>
        </is>
      </c>
      <c r="J16" t="inlineStr">
        <is>
          <t>Closed</t>
        </is>
      </c>
    </row>
    <row r="17">
      <c r="A17" t="inlineStr">
        <is>
          <t>CAPA016</t>
        </is>
      </c>
      <c r="B17" t="inlineStr">
        <is>
          <t>NCR016</t>
        </is>
      </c>
      <c r="C17" s="4" t="n">
        <v>45904.76746446259</v>
      </c>
      <c r="D17" t="inlineStr">
        <is>
          <t>Poor maintenance planning</t>
        </is>
      </c>
      <c r="E17" t="inlineStr">
        <is>
          <t>Update WI / retrain staff / improve inspection</t>
        </is>
      </c>
      <c r="F17" t="inlineStr">
        <is>
          <t>Maintenance Manager</t>
        </is>
      </c>
      <c r="G17" s="4" t="n">
        <v>45961.76746446259</v>
      </c>
      <c r="H17" s="4" t="n">
        <v>45956.76746446259</v>
      </c>
      <c r="I17" t="inlineStr">
        <is>
          <t>Not Verified</t>
        </is>
      </c>
      <c r="J17" t="inlineStr">
        <is>
          <t>Open</t>
        </is>
      </c>
    </row>
    <row r="18">
      <c r="A18" t="inlineStr">
        <is>
          <t>CAPA017</t>
        </is>
      </c>
      <c r="B18" t="inlineStr">
        <is>
          <t>NCR017</t>
        </is>
      </c>
      <c r="C18" s="4" t="n">
        <v>46049.76746446259</v>
      </c>
      <c r="D18" t="inlineStr">
        <is>
          <t>Supplier quality issue</t>
        </is>
      </c>
      <c r="E18" t="inlineStr">
        <is>
          <t>Update WI / retrain staff / improve inspection</t>
        </is>
      </c>
      <c r="F18" t="inlineStr">
        <is>
          <t>Ops Manager</t>
        </is>
      </c>
      <c r="G18" s="4" t="n">
        <v>46134.76746446259</v>
      </c>
      <c r="H18" s="4" t="n">
        <v>46151.76746446259</v>
      </c>
      <c r="I18" t="inlineStr">
        <is>
          <t>Effective</t>
        </is>
      </c>
      <c r="J18" t="inlineStr">
        <is>
          <t>Closed</t>
        </is>
      </c>
    </row>
    <row r="19">
      <c r="A19" t="inlineStr">
        <is>
          <t>CAPA018</t>
        </is>
      </c>
      <c r="B19" t="inlineStr">
        <is>
          <t>NCR018</t>
        </is>
      </c>
      <c r="C19" s="4" t="n">
        <v>45937.76746446259</v>
      </c>
      <c r="D19" t="inlineStr">
        <is>
          <t>Supplier quality issue</t>
        </is>
      </c>
      <c r="E19" t="inlineStr">
        <is>
          <t>Update WI / retrain staff / improve inspection</t>
        </is>
      </c>
      <c r="F19" t="inlineStr">
        <is>
          <t>Quality Manager</t>
        </is>
      </c>
      <c r="G19" s="4" t="n">
        <v>46010.76746446259</v>
      </c>
      <c r="H19" t="inlineStr"/>
      <c r="I19" t="inlineStr">
        <is>
          <t>Not Verified</t>
        </is>
      </c>
      <c r="J19" t="inlineStr">
        <is>
          <t>Open</t>
        </is>
      </c>
    </row>
    <row r="20">
      <c r="A20" t="inlineStr">
        <is>
          <t>CAPA019</t>
        </is>
      </c>
      <c r="B20" t="inlineStr">
        <is>
          <t>NCR019</t>
        </is>
      </c>
      <c r="C20" s="4" t="n">
        <v>45977.76746446259</v>
      </c>
      <c r="D20" t="inlineStr">
        <is>
          <t>Poor maintenance planning</t>
        </is>
      </c>
      <c r="E20" t="inlineStr">
        <is>
          <t>Update WI / retrain staff / improve inspection</t>
        </is>
      </c>
      <c r="F20" t="inlineStr">
        <is>
          <t>Quality Manager</t>
        </is>
      </c>
      <c r="G20" s="4" t="n">
        <v>46032.76746446259</v>
      </c>
      <c r="H20" s="4" t="n">
        <v>46027.76746446259</v>
      </c>
      <c r="I20" t="inlineStr">
        <is>
          <t>Effective</t>
        </is>
      </c>
      <c r="J20" t="inlineStr">
        <is>
          <t>Open</t>
        </is>
      </c>
    </row>
    <row r="21">
      <c r="A21" t="inlineStr">
        <is>
          <t>CAPA020</t>
        </is>
      </c>
      <c r="B21" t="inlineStr">
        <is>
          <t>NCR020</t>
        </is>
      </c>
      <c r="C21" s="4" t="n">
        <v>45879.76746446259</v>
      </c>
      <c r="D21" t="inlineStr">
        <is>
          <t>Inadequate work instruction</t>
        </is>
      </c>
      <c r="E21" t="inlineStr">
        <is>
          <t>Update WI / retrain staff / improve inspection</t>
        </is>
      </c>
      <c r="F21" t="inlineStr">
        <is>
          <t>Projects Manager</t>
        </is>
      </c>
      <c r="G21" s="4" t="n">
        <v>45950.76746446259</v>
      </c>
      <c r="H21" s="4" t="n">
        <v>45949.76746446259</v>
      </c>
      <c r="I21" t="inlineStr">
        <is>
          <t>Effective</t>
        </is>
      </c>
      <c r="J21" t="inlineStr">
        <is>
          <t>Closed</t>
        </is>
      </c>
    </row>
    <row r="22">
      <c r="A22" t="inlineStr">
        <is>
          <t>CAPA021</t>
        </is>
      </c>
      <c r="B22" t="inlineStr">
        <is>
          <t>NCR021</t>
        </is>
      </c>
      <c r="C22" s="4" t="n">
        <v>45979.76746446259</v>
      </c>
      <c r="D22" t="inlineStr">
        <is>
          <t>Training gap on inspection</t>
        </is>
      </c>
      <c r="E22" t="inlineStr">
        <is>
          <t>Update WI / retrain staff / improve inspection</t>
        </is>
      </c>
      <c r="F22" t="inlineStr">
        <is>
          <t>Projects Manager</t>
        </is>
      </c>
      <c r="G22" s="4" t="n">
        <v>46067.76746446259</v>
      </c>
      <c r="H22" t="inlineStr"/>
      <c r="I22" t="inlineStr">
        <is>
          <t>Not Verified</t>
        </is>
      </c>
      <c r="J22" t="inlineStr">
        <is>
          <t>Closed</t>
        </is>
      </c>
    </row>
    <row r="23">
      <c r="A23" t="inlineStr">
        <is>
          <t>CAPA022</t>
        </is>
      </c>
      <c r="B23" t="inlineStr">
        <is>
          <t>NCR022</t>
        </is>
      </c>
      <c r="C23" s="4" t="n">
        <v>45892.76746446259</v>
      </c>
      <c r="D23" t="inlineStr">
        <is>
          <t>Poor maintenance planning</t>
        </is>
      </c>
      <c r="E23" t="inlineStr">
        <is>
          <t>Update WI / retrain staff / improve inspection</t>
        </is>
      </c>
      <c r="F23" t="inlineStr">
        <is>
          <t>Quality Manager</t>
        </is>
      </c>
      <c r="G23" s="4" t="n">
        <v>45963.76746446259</v>
      </c>
      <c r="H23" s="4" t="n">
        <v>45991.76746446259</v>
      </c>
      <c r="I23" t="inlineStr">
        <is>
          <t>Partially Effective</t>
        </is>
      </c>
      <c r="J23" t="inlineStr">
        <is>
          <t>Open</t>
        </is>
      </c>
    </row>
    <row r="24">
      <c r="A24" t="inlineStr">
        <is>
          <t>CAPA023</t>
        </is>
      </c>
      <c r="B24" t="inlineStr">
        <is>
          <t>NCR023</t>
        </is>
      </c>
      <c r="C24" s="4" t="n">
        <v>46053.76746446259</v>
      </c>
      <c r="D24" t="inlineStr">
        <is>
          <t>Training gap on inspection</t>
        </is>
      </c>
      <c r="E24" t="inlineStr">
        <is>
          <t>Update WI / retrain staff / improve inspection</t>
        </is>
      </c>
      <c r="F24" t="inlineStr">
        <is>
          <t>Maintenance Manager</t>
        </is>
      </c>
      <c r="G24" s="4" t="n">
        <v>46118.76746446259</v>
      </c>
      <c r="H24" t="inlineStr"/>
      <c r="I24" t="inlineStr">
        <is>
          <t>Partially Effective</t>
        </is>
      </c>
      <c r="J24" t="inlineStr">
        <is>
          <t>Closed</t>
        </is>
      </c>
    </row>
    <row r="25">
      <c r="A25" t="inlineStr">
        <is>
          <t>CAPA024</t>
        </is>
      </c>
      <c r="B25" t="inlineStr">
        <is>
          <t>NCR024</t>
        </is>
      </c>
      <c r="C25" s="4" t="n">
        <v>45879.76746446259</v>
      </c>
      <c r="D25" t="inlineStr">
        <is>
          <t>Inadequate work instruction</t>
        </is>
      </c>
      <c r="E25" t="inlineStr">
        <is>
          <t>Update WI / retrain staff / improve inspection</t>
        </is>
      </c>
      <c r="F25" t="inlineStr">
        <is>
          <t>Maintenance Manager</t>
        </is>
      </c>
      <c r="G25" s="4" t="n">
        <v>45898.76746446259</v>
      </c>
      <c r="H25" t="inlineStr"/>
      <c r="I25" t="inlineStr">
        <is>
          <t>Effective</t>
        </is>
      </c>
      <c r="J25" t="inlineStr">
        <is>
          <t>Overdue</t>
        </is>
      </c>
    </row>
    <row r="26">
      <c r="A26" t="inlineStr">
        <is>
          <t>CAPA025</t>
        </is>
      </c>
      <c r="B26" t="inlineStr">
        <is>
          <t>NCR025</t>
        </is>
      </c>
      <c r="C26" s="4" t="n">
        <v>45954.76746446259</v>
      </c>
      <c r="D26" t="inlineStr">
        <is>
          <t>Training gap on inspection</t>
        </is>
      </c>
      <c r="E26" t="inlineStr">
        <is>
          <t>Update WI / retrain staff / improve inspection</t>
        </is>
      </c>
      <c r="F26" t="inlineStr">
        <is>
          <t>Ops Manager</t>
        </is>
      </c>
      <c r="G26" s="4" t="n">
        <v>46017.76746446259</v>
      </c>
      <c r="H26" t="inlineStr"/>
      <c r="I26" t="inlineStr">
        <is>
          <t>Partially Effective</t>
        </is>
      </c>
      <c r="J26" t="inlineStr">
        <is>
          <t>Open</t>
        </is>
      </c>
    </row>
    <row r="27">
      <c r="A27" t="inlineStr">
        <is>
          <t>CAPA026</t>
        </is>
      </c>
      <c r="B27" t="inlineStr">
        <is>
          <t>NCR026</t>
        </is>
      </c>
      <c r="C27" s="4" t="n">
        <v>45951.76746446259</v>
      </c>
      <c r="D27" t="inlineStr">
        <is>
          <t>Poor maintenance planning</t>
        </is>
      </c>
      <c r="E27" t="inlineStr">
        <is>
          <t>Update WI / retrain staff / improve inspection</t>
        </is>
      </c>
      <c r="F27" t="inlineStr">
        <is>
          <t>Maintenance Manager</t>
        </is>
      </c>
      <c r="G27" s="4" t="n">
        <v>45969.76746446259</v>
      </c>
      <c r="H27" s="4" t="n">
        <v>45979.76746446259</v>
      </c>
      <c r="I27" t="inlineStr">
        <is>
          <t>Partially Effective</t>
        </is>
      </c>
      <c r="J27" t="inlineStr">
        <is>
          <t>Open</t>
        </is>
      </c>
    </row>
    <row r="28">
      <c r="A28" t="inlineStr">
        <is>
          <t>CAPA027</t>
        </is>
      </c>
      <c r="B28" t="inlineStr">
        <is>
          <t>NCR027</t>
        </is>
      </c>
      <c r="C28" s="4" t="n">
        <v>46028.76746446259</v>
      </c>
      <c r="D28" t="inlineStr">
        <is>
          <t>Inadequate work instruction</t>
        </is>
      </c>
      <c r="E28" t="inlineStr">
        <is>
          <t>Update WI / retrain staff / improve inspection</t>
        </is>
      </c>
      <c r="F28" t="inlineStr">
        <is>
          <t>Maintenance Manager</t>
        </is>
      </c>
      <c r="G28" s="4" t="n">
        <v>46116.76746446259</v>
      </c>
      <c r="H28" s="4" t="n">
        <v>46112.76746446259</v>
      </c>
      <c r="I28" t="inlineStr">
        <is>
          <t>Not Verified</t>
        </is>
      </c>
      <c r="J28" t="inlineStr">
        <is>
          <t>Open</t>
        </is>
      </c>
    </row>
    <row r="29">
      <c r="A29" t="inlineStr">
        <is>
          <t>CAPA028</t>
        </is>
      </c>
      <c r="B29" t="inlineStr">
        <is>
          <t>NCR028</t>
        </is>
      </c>
      <c r="C29" s="4" t="n">
        <v>45932.76746446259</v>
      </c>
      <c r="D29" t="inlineStr">
        <is>
          <t>Training gap on inspection</t>
        </is>
      </c>
      <c r="E29" t="inlineStr">
        <is>
          <t>Update WI / retrain staff / improve inspection</t>
        </is>
      </c>
      <c r="F29" t="inlineStr">
        <is>
          <t>Projects Manager</t>
        </is>
      </c>
      <c r="G29" s="4" t="n">
        <v>45960.76746446259</v>
      </c>
      <c r="H29" s="4" t="n">
        <v>45976.76746446259</v>
      </c>
      <c r="I29" t="inlineStr">
        <is>
          <t>Partially Effective</t>
        </is>
      </c>
      <c r="J29" t="inlineStr">
        <is>
          <t>Overdue</t>
        </is>
      </c>
    </row>
    <row r="30">
      <c r="A30" t="inlineStr">
        <is>
          <t>CAPA029</t>
        </is>
      </c>
      <c r="B30" t="inlineStr">
        <is>
          <t>NCR029</t>
        </is>
      </c>
      <c r="C30" s="4" t="n">
        <v>45996.76746446259</v>
      </c>
      <c r="D30" t="inlineStr">
        <is>
          <t>Incorrect drawing revision used</t>
        </is>
      </c>
      <c r="E30" t="inlineStr">
        <is>
          <t>Update WI / retrain staff / improve inspection</t>
        </is>
      </c>
      <c r="F30" t="inlineStr">
        <is>
          <t>Quality Manager</t>
        </is>
      </c>
      <c r="G30" s="4" t="n">
        <v>46013.76746446259</v>
      </c>
      <c r="H30" s="4" t="n">
        <v>46037.76746446259</v>
      </c>
      <c r="I30" t="inlineStr">
        <is>
          <t>Partially Effective</t>
        </is>
      </c>
      <c r="J30" t="inlineStr">
        <is>
          <t>Overdue</t>
        </is>
      </c>
    </row>
    <row r="31">
      <c r="A31" t="inlineStr">
        <is>
          <t>CAPA030</t>
        </is>
      </c>
      <c r="B31" t="inlineStr">
        <is>
          <t>NCR030</t>
        </is>
      </c>
      <c r="C31" s="4" t="n">
        <v>45951.76746446259</v>
      </c>
      <c r="D31" t="inlineStr">
        <is>
          <t>Supplier quality issue</t>
        </is>
      </c>
      <c r="E31" t="inlineStr">
        <is>
          <t>Update WI / retrain staff / improve inspection</t>
        </is>
      </c>
      <c r="F31" t="inlineStr">
        <is>
          <t>Maintenance Manager</t>
        </is>
      </c>
      <c r="G31" s="4" t="n">
        <v>46034.76746446259</v>
      </c>
      <c r="H31" t="inlineStr"/>
      <c r="I31" t="inlineStr">
        <is>
          <t>Partially Effective</t>
        </is>
      </c>
      <c r="J31" t="inlineStr">
        <is>
          <t>Closed</t>
        </is>
      </c>
    </row>
    <row r="32">
      <c r="A32" t="inlineStr">
        <is>
          <t>CAPA031</t>
        </is>
      </c>
      <c r="B32" t="inlineStr">
        <is>
          <t>NCR031</t>
        </is>
      </c>
      <c r="C32" s="4" t="n">
        <v>46032.76746446259</v>
      </c>
      <c r="D32" t="inlineStr">
        <is>
          <t>Inadequate work instruction</t>
        </is>
      </c>
      <c r="E32" t="inlineStr">
        <is>
          <t>Update WI / retrain staff / improve inspection</t>
        </is>
      </c>
      <c r="F32" t="inlineStr">
        <is>
          <t>Maintenance Manager</t>
        </is>
      </c>
      <c r="G32" s="4" t="n">
        <v>46114.76746446259</v>
      </c>
      <c r="H32" t="inlineStr"/>
      <c r="I32" t="inlineStr">
        <is>
          <t>Partially Effective</t>
        </is>
      </c>
      <c r="J32" t="inlineStr">
        <is>
          <t>Open</t>
        </is>
      </c>
    </row>
    <row r="33">
      <c r="A33" t="inlineStr">
        <is>
          <t>CAPA032</t>
        </is>
      </c>
      <c r="B33" t="inlineStr">
        <is>
          <t>NCR032</t>
        </is>
      </c>
      <c r="C33" s="4" t="n">
        <v>45962.76746446259</v>
      </c>
      <c r="D33" t="inlineStr">
        <is>
          <t>Inadequate work instruction</t>
        </is>
      </c>
      <c r="E33" t="inlineStr">
        <is>
          <t>Update WI / retrain staff / improve inspection</t>
        </is>
      </c>
      <c r="F33" t="inlineStr">
        <is>
          <t>Ops Manager</t>
        </is>
      </c>
      <c r="G33" s="4" t="n">
        <v>46008.76746446259</v>
      </c>
      <c r="H33" s="4" t="n">
        <v>46037.76746446259</v>
      </c>
      <c r="I33" t="inlineStr">
        <is>
          <t>Partially Effective</t>
        </is>
      </c>
      <c r="J33" t="inlineStr">
        <is>
          <t>Closed</t>
        </is>
      </c>
    </row>
    <row r="34">
      <c r="A34" t="inlineStr">
        <is>
          <t>CAPA033</t>
        </is>
      </c>
      <c r="B34" t="inlineStr">
        <is>
          <t>NCR033</t>
        </is>
      </c>
      <c r="C34" s="4" t="n">
        <v>45893.76746446259</v>
      </c>
      <c r="D34" t="inlineStr">
        <is>
          <t>Supplier quality issue</t>
        </is>
      </c>
      <c r="E34" t="inlineStr">
        <is>
          <t>Update WI / retrain staff / improve inspection</t>
        </is>
      </c>
      <c r="F34" t="inlineStr">
        <is>
          <t>Ops Manager</t>
        </is>
      </c>
      <c r="G34" s="4" t="n">
        <v>45938.76746446259</v>
      </c>
      <c r="H34" t="inlineStr"/>
      <c r="I34" t="inlineStr">
        <is>
          <t>Not Verified</t>
        </is>
      </c>
      <c r="J34" t="inlineStr">
        <is>
          <t>Open</t>
        </is>
      </c>
    </row>
    <row r="35">
      <c r="A35" t="inlineStr">
        <is>
          <t>CAPA034</t>
        </is>
      </c>
      <c r="B35" t="inlineStr">
        <is>
          <t>NCR034</t>
        </is>
      </c>
      <c r="C35" s="4" t="n">
        <v>45992.76746446259</v>
      </c>
      <c r="D35" t="inlineStr">
        <is>
          <t>Inadequate work instruction</t>
        </is>
      </c>
      <c r="E35" t="inlineStr">
        <is>
          <t>Update WI / retrain staff / improve inspection</t>
        </is>
      </c>
      <c r="F35" t="inlineStr">
        <is>
          <t>Projects Manager</t>
        </is>
      </c>
      <c r="G35" s="4" t="n">
        <v>46055.76746446259</v>
      </c>
      <c r="H35" t="inlineStr"/>
      <c r="I35" t="inlineStr">
        <is>
          <t>Effective</t>
        </is>
      </c>
      <c r="J35" t="inlineStr">
        <is>
          <t>Overdue</t>
        </is>
      </c>
    </row>
    <row r="36">
      <c r="A36" t="inlineStr">
        <is>
          <t>CAPA035</t>
        </is>
      </c>
      <c r="B36" t="inlineStr">
        <is>
          <t>NCR035</t>
        </is>
      </c>
      <c r="C36" s="4" t="n">
        <v>45995.76746446259</v>
      </c>
      <c r="D36" t="inlineStr">
        <is>
          <t>Training gap on inspection</t>
        </is>
      </c>
      <c r="E36" t="inlineStr">
        <is>
          <t>Update WI / retrain staff / improve inspection</t>
        </is>
      </c>
      <c r="F36" t="inlineStr">
        <is>
          <t>Projects Manager</t>
        </is>
      </c>
      <c r="G36" s="4" t="n">
        <v>46084.76746446259</v>
      </c>
      <c r="H36" t="inlineStr"/>
      <c r="I36" t="inlineStr">
        <is>
          <t>Partially Effective</t>
        </is>
      </c>
      <c r="J36" t="inlineStr">
        <is>
          <t>Overdue</t>
        </is>
      </c>
    </row>
    <row r="37">
      <c r="A37" t="inlineStr">
        <is>
          <t>CAPA036</t>
        </is>
      </c>
      <c r="B37" t="inlineStr">
        <is>
          <t>NCR036</t>
        </is>
      </c>
      <c r="C37" s="4" t="n">
        <v>46018.76746446259</v>
      </c>
      <c r="D37" t="inlineStr">
        <is>
          <t>Inadequate work instruction</t>
        </is>
      </c>
      <c r="E37" t="inlineStr">
        <is>
          <t>Update WI / retrain staff / improve inspection</t>
        </is>
      </c>
      <c r="F37" t="inlineStr">
        <is>
          <t>Ops Manager</t>
        </is>
      </c>
      <c r="G37" s="4" t="n">
        <v>46105.76746446259</v>
      </c>
      <c r="H37" s="4" t="n">
        <v>46122.76746446259</v>
      </c>
      <c r="I37" t="inlineStr">
        <is>
          <t>Partially Effective</t>
        </is>
      </c>
      <c r="J37" t="inlineStr">
        <is>
          <t>Open</t>
        </is>
      </c>
    </row>
    <row r="38">
      <c r="A38" t="inlineStr">
        <is>
          <t>CAPA037</t>
        </is>
      </c>
      <c r="B38" t="inlineStr">
        <is>
          <t>NCR037</t>
        </is>
      </c>
      <c r="C38" s="4" t="n">
        <v>45983.76746446259</v>
      </c>
      <c r="D38" t="inlineStr">
        <is>
          <t>Incorrect drawing revision used</t>
        </is>
      </c>
      <c r="E38" t="inlineStr">
        <is>
          <t>Update WI / retrain staff / improve inspection</t>
        </is>
      </c>
      <c r="F38" t="inlineStr">
        <is>
          <t>Projects Manager</t>
        </is>
      </c>
      <c r="G38" s="4" t="n">
        <v>46025.76746446259</v>
      </c>
      <c r="H38" s="4" t="n">
        <v>46030.76746446259</v>
      </c>
      <c r="I38" t="inlineStr">
        <is>
          <t>Partially Effective</t>
        </is>
      </c>
      <c r="J38" t="inlineStr">
        <is>
          <t>Overdue</t>
        </is>
      </c>
    </row>
    <row r="39">
      <c r="A39" t="inlineStr">
        <is>
          <t>CAPA038</t>
        </is>
      </c>
      <c r="B39" t="inlineStr">
        <is>
          <t>NCR038</t>
        </is>
      </c>
      <c r="C39" s="4" t="n">
        <v>45973.76746446259</v>
      </c>
      <c r="D39" t="inlineStr">
        <is>
          <t>Poor maintenance planning</t>
        </is>
      </c>
      <c r="E39" t="inlineStr">
        <is>
          <t>Update WI / retrain staff / improve inspection</t>
        </is>
      </c>
      <c r="F39" t="inlineStr">
        <is>
          <t>Projects Manager</t>
        </is>
      </c>
      <c r="G39" s="4" t="n">
        <v>46061.76746446259</v>
      </c>
      <c r="H39" t="inlineStr"/>
      <c r="I39" t="inlineStr">
        <is>
          <t>Effective</t>
        </is>
      </c>
      <c r="J39" t="inlineStr">
        <is>
          <t>Closed</t>
        </is>
      </c>
    </row>
    <row r="40">
      <c r="A40" t="inlineStr">
        <is>
          <t>CAPA039</t>
        </is>
      </c>
      <c r="B40" t="inlineStr">
        <is>
          <t>NCR039</t>
        </is>
      </c>
      <c r="C40" s="4" t="n">
        <v>45968.76746446259</v>
      </c>
      <c r="D40" t="inlineStr">
        <is>
          <t>Inadequate work instruction</t>
        </is>
      </c>
      <c r="E40" t="inlineStr">
        <is>
          <t>Update WI / retrain staff / improve inspection</t>
        </is>
      </c>
      <c r="F40" t="inlineStr">
        <is>
          <t>Ops Manager</t>
        </is>
      </c>
      <c r="G40" s="4" t="n">
        <v>46029.76746446259</v>
      </c>
      <c r="H40" t="inlineStr"/>
      <c r="I40" t="inlineStr">
        <is>
          <t>Effective</t>
        </is>
      </c>
      <c r="J40" t="inlineStr">
        <is>
          <t>Overdue</t>
        </is>
      </c>
    </row>
    <row r="41">
      <c r="A41" t="inlineStr">
        <is>
          <t>CAPA040</t>
        </is>
      </c>
      <c r="B41" t="inlineStr">
        <is>
          <t>NCR040</t>
        </is>
      </c>
      <c r="C41" s="4" t="n">
        <v>45982.76746446259</v>
      </c>
      <c r="D41" t="inlineStr">
        <is>
          <t>Supplier quality issue</t>
        </is>
      </c>
      <c r="E41" t="inlineStr">
        <is>
          <t>Update WI / retrain staff / improve inspection</t>
        </is>
      </c>
      <c r="F41" t="inlineStr">
        <is>
          <t>Ops Manager</t>
        </is>
      </c>
      <c r="G41" s="4" t="n">
        <v>46009.76746446259</v>
      </c>
      <c r="H41" t="inlineStr"/>
      <c r="I41" t="inlineStr">
        <is>
          <t>Partially Effective</t>
        </is>
      </c>
      <c r="J41" t="inlineStr">
        <is>
          <t>Overdue</t>
        </is>
      </c>
    </row>
    <row r="42">
      <c r="A42" t="inlineStr">
        <is>
          <t>CAPA041</t>
        </is>
      </c>
      <c r="B42" t="inlineStr">
        <is>
          <t>NCR041</t>
        </is>
      </c>
      <c r="C42" s="4" t="n">
        <v>46009.76746446259</v>
      </c>
      <c r="D42" t="inlineStr">
        <is>
          <t>Poor maintenance planning</t>
        </is>
      </c>
      <c r="E42" t="inlineStr">
        <is>
          <t>Update WI / retrain staff / improve inspection</t>
        </is>
      </c>
      <c r="F42" t="inlineStr">
        <is>
          <t>Projects Manager</t>
        </is>
      </c>
      <c r="G42" s="4" t="n">
        <v>46045.76746446259</v>
      </c>
      <c r="H42" t="inlineStr"/>
      <c r="I42" t="inlineStr">
        <is>
          <t>Effective</t>
        </is>
      </c>
      <c r="J42" t="inlineStr">
        <is>
          <t>Closed</t>
        </is>
      </c>
    </row>
    <row r="43">
      <c r="A43" t="inlineStr">
        <is>
          <t>CAPA042</t>
        </is>
      </c>
      <c r="B43" t="inlineStr">
        <is>
          <t>NCR042</t>
        </is>
      </c>
      <c r="C43" s="4" t="n">
        <v>46048.76746446259</v>
      </c>
      <c r="D43" t="inlineStr">
        <is>
          <t>Inadequate work instruction</t>
        </is>
      </c>
      <c r="E43" t="inlineStr">
        <is>
          <t>Update WI / retrain staff / improve inspection</t>
        </is>
      </c>
      <c r="F43" t="inlineStr">
        <is>
          <t>Projects Manager</t>
        </is>
      </c>
      <c r="G43" s="4" t="n">
        <v>46070.76746446259</v>
      </c>
      <c r="H43" t="inlineStr"/>
      <c r="I43" t="inlineStr">
        <is>
          <t>Not Verified</t>
        </is>
      </c>
      <c r="J43" t="inlineStr">
        <is>
          <t>Open</t>
        </is>
      </c>
    </row>
    <row r="44">
      <c r="A44" t="inlineStr">
        <is>
          <t>CAPA043</t>
        </is>
      </c>
      <c r="B44" t="inlineStr">
        <is>
          <t>NCR043</t>
        </is>
      </c>
      <c r="C44" s="4" t="n">
        <v>45915.76746446259</v>
      </c>
      <c r="D44" t="inlineStr">
        <is>
          <t>Supplier quality issue</t>
        </is>
      </c>
      <c r="E44" t="inlineStr">
        <is>
          <t>Update WI / retrain staff / improve inspection</t>
        </is>
      </c>
      <c r="F44" t="inlineStr">
        <is>
          <t>Quality Manager</t>
        </is>
      </c>
      <c r="G44" s="4" t="n">
        <v>45978.76746446259</v>
      </c>
      <c r="H44" s="4" t="n">
        <v>46001.76746446259</v>
      </c>
      <c r="I44" t="inlineStr">
        <is>
          <t>Effective</t>
        </is>
      </c>
      <c r="J44" t="inlineStr">
        <is>
          <t>Overdue</t>
        </is>
      </c>
    </row>
    <row r="45">
      <c r="A45" t="inlineStr">
        <is>
          <t>CAPA044</t>
        </is>
      </c>
      <c r="B45" t="inlineStr">
        <is>
          <t>NCR044</t>
        </is>
      </c>
      <c r="C45" s="4" t="n">
        <v>45938.76746446259</v>
      </c>
      <c r="D45" t="inlineStr">
        <is>
          <t>Incorrect drawing revision used</t>
        </is>
      </c>
      <c r="E45" t="inlineStr">
        <is>
          <t>Update WI / retrain staff / improve inspection</t>
        </is>
      </c>
      <c r="F45" t="inlineStr">
        <is>
          <t>Projects Manager</t>
        </is>
      </c>
      <c r="G45" s="4" t="n">
        <v>46007.76746446259</v>
      </c>
      <c r="H45" s="4" t="n">
        <v>46009.76746446259</v>
      </c>
      <c r="I45" t="inlineStr">
        <is>
          <t>Partially Effective</t>
        </is>
      </c>
      <c r="J45" t="inlineStr">
        <is>
          <t>Closed</t>
        </is>
      </c>
    </row>
    <row r="46">
      <c r="A46" t="inlineStr">
        <is>
          <t>CAPA045</t>
        </is>
      </c>
      <c r="B46" t="inlineStr">
        <is>
          <t>NCR045</t>
        </is>
      </c>
      <c r="C46" s="4" t="n">
        <v>45923.76746446259</v>
      </c>
      <c r="D46" t="inlineStr">
        <is>
          <t>Incorrect drawing revision used</t>
        </is>
      </c>
      <c r="E46" t="inlineStr">
        <is>
          <t>Update WI / retrain staff / improve inspection</t>
        </is>
      </c>
      <c r="F46" t="inlineStr">
        <is>
          <t>Projects Manager</t>
        </is>
      </c>
      <c r="G46" s="4" t="n">
        <v>45954.76746446259</v>
      </c>
      <c r="H46" t="inlineStr"/>
      <c r="I46" t="inlineStr">
        <is>
          <t>Partially Effective</t>
        </is>
      </c>
      <c r="J46" t="inlineStr">
        <is>
          <t>Closed</t>
        </is>
      </c>
    </row>
    <row r="47">
      <c r="A47" t="inlineStr">
        <is>
          <t>CAPA046</t>
        </is>
      </c>
      <c r="B47" t="inlineStr">
        <is>
          <t>NCR046</t>
        </is>
      </c>
      <c r="C47" s="4" t="n">
        <v>46063.76746446259</v>
      </c>
      <c r="D47" t="inlineStr">
        <is>
          <t>Supplier quality issue</t>
        </is>
      </c>
      <c r="E47" t="inlineStr">
        <is>
          <t>Update WI / retrain staff / improve inspection</t>
        </is>
      </c>
      <c r="F47" t="inlineStr">
        <is>
          <t>Quality Manager</t>
        </is>
      </c>
      <c r="G47" s="4" t="n">
        <v>46088.76746446259</v>
      </c>
      <c r="H47" s="4" t="n">
        <v>46098.76746446259</v>
      </c>
      <c r="I47" t="inlineStr">
        <is>
          <t>Not Verified</t>
        </is>
      </c>
      <c r="J47" t="inlineStr">
        <is>
          <t>Closed</t>
        </is>
      </c>
    </row>
    <row r="48">
      <c r="A48" t="inlineStr">
        <is>
          <t>CAPA047</t>
        </is>
      </c>
      <c r="B48" t="inlineStr">
        <is>
          <t>NCR047</t>
        </is>
      </c>
      <c r="C48" s="4" t="n">
        <v>45917.76746446259</v>
      </c>
      <c r="D48" t="inlineStr">
        <is>
          <t>Inadequate work instruction</t>
        </is>
      </c>
      <c r="E48" t="inlineStr">
        <is>
          <t>Update WI / retrain staff / improve inspection</t>
        </is>
      </c>
      <c r="F48" t="inlineStr">
        <is>
          <t>Ops Manager</t>
        </is>
      </c>
      <c r="G48" s="4" t="n">
        <v>45994.76746446259</v>
      </c>
      <c r="H48" t="inlineStr"/>
      <c r="I48" t="inlineStr">
        <is>
          <t>Effective</t>
        </is>
      </c>
      <c r="J48" t="inlineStr">
        <is>
          <t>Open</t>
        </is>
      </c>
    </row>
    <row r="49">
      <c r="A49" t="inlineStr">
        <is>
          <t>CAPA048</t>
        </is>
      </c>
      <c r="B49" t="inlineStr">
        <is>
          <t>NCR048</t>
        </is>
      </c>
      <c r="C49" s="4" t="n">
        <v>45955.76746446259</v>
      </c>
      <c r="D49" t="inlineStr">
        <is>
          <t>Supplier quality issue</t>
        </is>
      </c>
      <c r="E49" t="inlineStr">
        <is>
          <t>Update WI / retrain staff / improve inspection</t>
        </is>
      </c>
      <c r="F49" t="inlineStr">
        <is>
          <t>Projects Manager</t>
        </is>
      </c>
      <c r="G49" s="4" t="n">
        <v>46032.76746446259</v>
      </c>
      <c r="H49" s="4" t="n">
        <v>46051.76746446259</v>
      </c>
      <c r="I49" t="inlineStr">
        <is>
          <t>Not Verified</t>
        </is>
      </c>
      <c r="J49" t="inlineStr">
        <is>
          <t>Overdue</t>
        </is>
      </c>
    </row>
    <row r="50">
      <c r="A50" t="inlineStr">
        <is>
          <t>CAPA049</t>
        </is>
      </c>
      <c r="B50" t="inlineStr">
        <is>
          <t>NCR049</t>
        </is>
      </c>
      <c r="C50" s="4" t="n">
        <v>45928.76746446259</v>
      </c>
      <c r="D50" t="inlineStr">
        <is>
          <t>Training gap on inspection</t>
        </is>
      </c>
      <c r="E50" t="inlineStr">
        <is>
          <t>Update WI / retrain staff / improve inspection</t>
        </is>
      </c>
      <c r="F50" t="inlineStr">
        <is>
          <t>Maintenance Manager</t>
        </is>
      </c>
      <c r="G50" s="4" t="n">
        <v>45956.76746446259</v>
      </c>
      <c r="H50" t="inlineStr"/>
      <c r="I50" t="inlineStr">
        <is>
          <t>Effective</t>
        </is>
      </c>
      <c r="J50" t="inlineStr">
        <is>
          <t>Open</t>
        </is>
      </c>
    </row>
    <row r="51">
      <c r="A51" t="inlineStr">
        <is>
          <t>CAPA050</t>
        </is>
      </c>
      <c r="B51" t="inlineStr">
        <is>
          <t>NCR050</t>
        </is>
      </c>
      <c r="C51" s="4" t="n">
        <v>46035.76746446259</v>
      </c>
      <c r="D51" t="inlineStr">
        <is>
          <t>Training gap on inspection</t>
        </is>
      </c>
      <c r="E51" t="inlineStr">
        <is>
          <t>Update WI / retrain staff / improve inspection</t>
        </is>
      </c>
      <c r="F51" t="inlineStr">
        <is>
          <t>Projects Manager</t>
        </is>
      </c>
      <c r="G51" s="4" t="n">
        <v>46103.76746446259</v>
      </c>
      <c r="H51" t="inlineStr"/>
      <c r="I51" t="inlineStr">
        <is>
          <t>Effective</t>
        </is>
      </c>
      <c r="J51" t="inlineStr">
        <is>
          <t>Closed</t>
        </is>
      </c>
    </row>
  </sheetData>
  <conditionalFormatting sqref="J2:J500">
    <cfRule type="cellIs" priority="1" operator="equal" dxfId="0">
      <formula>"Overdue"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3" t="inlineStr">
        <is>
          <t>Audit ID</t>
        </is>
      </c>
      <c r="B1" s="3" t="inlineStr">
        <is>
          <t>Process</t>
        </is>
      </c>
      <c r="C1" s="3" t="inlineStr">
        <is>
          <t>Auditor</t>
        </is>
      </c>
      <c r="D1" s="3" t="inlineStr">
        <is>
          <t>Planned Date</t>
        </is>
      </c>
      <c r="E1" s="3" t="inlineStr">
        <is>
          <t>Actual Date</t>
        </is>
      </c>
      <c r="F1" s="3" t="inlineStr">
        <is>
          <t>Findings</t>
        </is>
      </c>
      <c r="G1" s="3" t="inlineStr">
        <is>
          <t>NC Raised</t>
        </is>
      </c>
      <c r="H1" s="3" t="inlineStr">
        <is>
          <t>Status</t>
        </is>
      </c>
    </row>
    <row r="2">
      <c r="A2" t="inlineStr">
        <is>
          <t>AUD001</t>
        </is>
      </c>
      <c r="B2" t="inlineStr">
        <is>
          <t>Sales &amp; Customer Engagement</t>
        </is>
      </c>
      <c r="C2" t="inlineStr">
        <is>
          <t>Internal Auditor 2</t>
        </is>
      </c>
      <c r="D2" s="4" t="n">
        <v>46081.76746446259</v>
      </c>
      <c r="E2" s="4" t="n">
        <v>46079.76746446259</v>
      </c>
      <c r="F2" t="inlineStr">
        <is>
          <t>Observation on calibration records</t>
        </is>
      </c>
      <c r="G2" t="inlineStr">
        <is>
          <t>Yes</t>
        </is>
      </c>
      <c r="H2" t="inlineStr">
        <is>
          <t>Completed</t>
        </is>
      </c>
    </row>
    <row r="3">
      <c r="A3" t="inlineStr">
        <is>
          <t>AUD002</t>
        </is>
      </c>
      <c r="B3" t="inlineStr">
        <is>
          <t>Design &amp; Engineering</t>
        </is>
      </c>
      <c r="C3" t="inlineStr">
        <is>
          <t>Internal Auditor 1</t>
        </is>
      </c>
      <c r="D3" s="4" t="n">
        <v>46069.76746446259</v>
      </c>
      <c r="E3" s="4" t="n">
        <v>46064.76746446259</v>
      </c>
      <c r="F3" t="inlineStr">
        <is>
          <t>No findings</t>
        </is>
      </c>
      <c r="G3" t="inlineStr">
        <is>
          <t>Yes</t>
        </is>
      </c>
      <c r="H3" t="inlineStr">
        <is>
          <t>Completed</t>
        </is>
      </c>
    </row>
    <row r="4">
      <c r="A4" t="inlineStr">
        <is>
          <t>AUD003</t>
        </is>
      </c>
      <c r="B4" t="inlineStr">
        <is>
          <t>Procurement</t>
        </is>
      </c>
      <c r="C4" t="inlineStr">
        <is>
          <t>Internal Auditor 2</t>
        </is>
      </c>
      <c r="D4" s="4" t="n">
        <v>45994.76746446259</v>
      </c>
      <c r="E4" s="4" t="n">
        <v>45995.76746446259</v>
      </c>
      <c r="F4" t="inlineStr">
        <is>
          <t>Major NC on training records</t>
        </is>
      </c>
      <c r="G4" t="inlineStr">
        <is>
          <t>No</t>
        </is>
      </c>
      <c r="H4" t="inlineStr">
        <is>
          <t>Completed</t>
        </is>
      </c>
    </row>
    <row r="5">
      <c r="A5" t="inlineStr">
        <is>
          <t>AUD004</t>
        </is>
      </c>
      <c r="B5" t="inlineStr">
        <is>
          <t>Production / Operations</t>
        </is>
      </c>
      <c r="C5" t="inlineStr">
        <is>
          <t>Quality Manager</t>
        </is>
      </c>
      <c r="D5" s="4" t="n">
        <v>46086.76746446259</v>
      </c>
      <c r="E5" t="inlineStr"/>
      <c r="F5" t="inlineStr">
        <is>
          <t>Major NC on training records</t>
        </is>
      </c>
      <c r="G5" t="inlineStr">
        <is>
          <t>Yes</t>
        </is>
      </c>
      <c r="H5" t="inlineStr">
        <is>
          <t>Planned</t>
        </is>
      </c>
    </row>
    <row r="6">
      <c r="A6" t="inlineStr">
        <is>
          <t>AUD005</t>
        </is>
      </c>
      <c r="B6" t="inlineStr">
        <is>
          <t>Quality Control / Inspection</t>
        </is>
      </c>
      <c r="C6" t="inlineStr">
        <is>
          <t>Internal Auditor 2</t>
        </is>
      </c>
      <c r="D6" s="4" t="n">
        <v>46110.76746446259</v>
      </c>
      <c r="E6" s="4" t="n">
        <v>46113.76746446259</v>
      </c>
      <c r="F6" t="inlineStr">
        <is>
          <t>No findings</t>
        </is>
      </c>
      <c r="G6" t="inlineStr">
        <is>
          <t>Yes</t>
        </is>
      </c>
      <c r="H6" t="inlineStr">
        <is>
          <t>Completed</t>
        </is>
      </c>
    </row>
    <row r="7">
      <c r="A7" t="inlineStr">
        <is>
          <t>AUD006</t>
        </is>
      </c>
      <c r="B7" t="inlineStr">
        <is>
          <t>Logistics / Delivery</t>
        </is>
      </c>
      <c r="C7" t="inlineStr">
        <is>
          <t>Internal Auditor 2</t>
        </is>
      </c>
      <c r="D7" s="4" t="n">
        <v>46013.76746446259</v>
      </c>
      <c r="E7" t="inlineStr"/>
      <c r="F7" t="inlineStr">
        <is>
          <t>Major NC on training records</t>
        </is>
      </c>
      <c r="G7" t="inlineStr">
        <is>
          <t>Yes</t>
        </is>
      </c>
      <c r="H7" t="inlineStr">
        <is>
          <t>Planned</t>
        </is>
      </c>
    </row>
    <row r="8">
      <c r="A8" t="inlineStr">
        <is>
          <t>AUD007</t>
        </is>
      </c>
      <c r="B8" t="inlineStr">
        <is>
          <t>Support Services</t>
        </is>
      </c>
      <c r="C8" t="inlineStr">
        <is>
          <t>Internal Auditor 1</t>
        </is>
      </c>
      <c r="D8" s="4" t="n">
        <v>46055.76746446259</v>
      </c>
      <c r="E8" t="inlineStr"/>
      <c r="F8" t="inlineStr">
        <is>
          <t>Minor NC on document control</t>
        </is>
      </c>
      <c r="G8" t="inlineStr">
        <is>
          <t>Yes</t>
        </is>
      </c>
      <c r="H8" t="inlineStr">
        <is>
          <t>Planned</t>
        </is>
      </c>
    </row>
    <row r="9">
      <c r="A9" t="inlineStr">
        <is>
          <t>AUD008</t>
        </is>
      </c>
      <c r="B9" t="inlineStr">
        <is>
          <t>Management &amp; Leadership</t>
        </is>
      </c>
      <c r="C9" t="inlineStr">
        <is>
          <t>Internal Auditor 2</t>
        </is>
      </c>
      <c r="D9" s="4" t="n">
        <v>46036.76746446259</v>
      </c>
      <c r="E9" s="4" t="n">
        <v>46036.76746446259</v>
      </c>
      <c r="F9" t="inlineStr">
        <is>
          <t>No findings</t>
        </is>
      </c>
      <c r="G9" t="inlineStr">
        <is>
          <t>Yes</t>
        </is>
      </c>
      <c r="H9" t="inlineStr">
        <is>
          <t>Completed</t>
        </is>
      </c>
    </row>
    <row r="10">
      <c r="A10" t="inlineStr">
        <is>
          <t>AUD009</t>
        </is>
      </c>
      <c r="B10" t="inlineStr">
        <is>
          <t>Improvement</t>
        </is>
      </c>
      <c r="C10" t="inlineStr">
        <is>
          <t>Quality Manager</t>
        </is>
      </c>
      <c r="D10" s="4" t="n">
        <v>45959.76746446259</v>
      </c>
      <c r="E10" s="4" t="n">
        <v>45965.76746446259</v>
      </c>
      <c r="F10" t="inlineStr">
        <is>
          <t>Improvement opportunity on risk review</t>
        </is>
      </c>
      <c r="G10" t="inlineStr">
        <is>
          <t>Yes</t>
        </is>
      </c>
      <c r="H10" t="inlineStr">
        <is>
          <t>Completed</t>
        </is>
      </c>
    </row>
    <row r="11">
      <c r="A11" t="inlineStr">
        <is>
          <t>AUD010</t>
        </is>
      </c>
      <c r="B11" t="inlineStr">
        <is>
          <t>Sales &amp; Customer Engagement</t>
        </is>
      </c>
      <c r="C11" t="inlineStr">
        <is>
          <t>Internal Auditor 2</t>
        </is>
      </c>
      <c r="D11" s="4" t="n">
        <v>46127.76746446259</v>
      </c>
      <c r="E11" t="inlineStr"/>
      <c r="F11" t="inlineStr">
        <is>
          <t>No findings</t>
        </is>
      </c>
      <c r="G11" t="inlineStr">
        <is>
          <t>Yes</t>
        </is>
      </c>
      <c r="H11" t="inlineStr">
        <is>
          <t>Planned</t>
        </is>
      </c>
    </row>
    <row r="12">
      <c r="A12" t="inlineStr">
        <is>
          <t>AUD011</t>
        </is>
      </c>
      <c r="B12" t="inlineStr">
        <is>
          <t>Design &amp; Engineering</t>
        </is>
      </c>
      <c r="C12" t="inlineStr">
        <is>
          <t>Quality Manager</t>
        </is>
      </c>
      <c r="D12" s="4" t="n">
        <v>46093.76746446259</v>
      </c>
      <c r="E12" s="4" t="n">
        <v>46095.76746446259</v>
      </c>
      <c r="F12" t="inlineStr">
        <is>
          <t>Major NC on training records</t>
        </is>
      </c>
      <c r="G12" t="inlineStr">
        <is>
          <t>No</t>
        </is>
      </c>
      <c r="H12" t="inlineStr">
        <is>
          <t>Completed</t>
        </is>
      </c>
    </row>
    <row r="13">
      <c r="A13" t="inlineStr">
        <is>
          <t>AUD012</t>
        </is>
      </c>
      <c r="B13" t="inlineStr">
        <is>
          <t>Procurement</t>
        </is>
      </c>
      <c r="C13" t="inlineStr">
        <is>
          <t>Quality Manager</t>
        </is>
      </c>
      <c r="D13" s="4" t="n">
        <v>45967.76746446259</v>
      </c>
      <c r="E13" t="inlineStr"/>
      <c r="F13" t="inlineStr">
        <is>
          <t>Major NC on training records</t>
        </is>
      </c>
      <c r="G13" t="inlineStr">
        <is>
          <t>Yes</t>
        </is>
      </c>
      <c r="H13" t="inlineStr">
        <is>
          <t>Planned</t>
        </is>
      </c>
    </row>
    <row r="14">
      <c r="A14" t="inlineStr">
        <is>
          <t>AUD013</t>
        </is>
      </c>
      <c r="B14" t="inlineStr">
        <is>
          <t>Production / Operations</t>
        </is>
      </c>
      <c r="C14" t="inlineStr">
        <is>
          <t>Quality Manager</t>
        </is>
      </c>
      <c r="D14" s="4" t="n">
        <v>45988.76746446259</v>
      </c>
      <c r="E14" s="4" t="n">
        <v>45985.76746446259</v>
      </c>
      <c r="F14" t="inlineStr">
        <is>
          <t>Observation on calibration records</t>
        </is>
      </c>
      <c r="G14" t="inlineStr">
        <is>
          <t>Yes</t>
        </is>
      </c>
      <c r="H14" t="inlineStr">
        <is>
          <t>Completed</t>
        </is>
      </c>
    </row>
    <row r="15">
      <c r="A15" t="inlineStr">
        <is>
          <t>AUD014</t>
        </is>
      </c>
      <c r="B15" t="inlineStr">
        <is>
          <t>Quality Control / Inspection</t>
        </is>
      </c>
      <c r="C15" t="inlineStr">
        <is>
          <t>Quality Manager</t>
        </is>
      </c>
      <c r="D15" s="4" t="n">
        <v>46010.76746446259</v>
      </c>
      <c r="E15" s="4" t="n">
        <v>46011.76746446259</v>
      </c>
      <c r="F15" t="inlineStr">
        <is>
          <t>Observation on calibration records</t>
        </is>
      </c>
      <c r="G15" t="inlineStr">
        <is>
          <t>No</t>
        </is>
      </c>
      <c r="H15" t="inlineStr">
        <is>
          <t>Completed</t>
        </is>
      </c>
    </row>
    <row r="16">
      <c r="A16" t="inlineStr">
        <is>
          <t>AUD015</t>
        </is>
      </c>
      <c r="B16" t="inlineStr">
        <is>
          <t>Logistics / Delivery</t>
        </is>
      </c>
      <c r="C16" t="inlineStr">
        <is>
          <t>Internal Auditor 2</t>
        </is>
      </c>
      <c r="D16" s="4" t="n">
        <v>46117.76746446259</v>
      </c>
      <c r="E16" s="4" t="n">
        <v>46127.76746446259</v>
      </c>
      <c r="F16" t="inlineStr">
        <is>
          <t>Major NC on training records</t>
        </is>
      </c>
      <c r="G16" t="inlineStr">
        <is>
          <t>Yes</t>
        </is>
      </c>
      <c r="H16" t="inlineStr">
        <is>
          <t>Completed</t>
        </is>
      </c>
    </row>
    <row r="17">
      <c r="A17" t="inlineStr">
        <is>
          <t>AUD016</t>
        </is>
      </c>
      <c r="B17" t="inlineStr">
        <is>
          <t>Support Services</t>
        </is>
      </c>
      <c r="C17" t="inlineStr">
        <is>
          <t>Quality Manager</t>
        </is>
      </c>
      <c r="D17" s="4" t="n">
        <v>46126.76746446259</v>
      </c>
      <c r="E17" s="4" t="n">
        <v>46135.76746446259</v>
      </c>
      <c r="F17" t="inlineStr">
        <is>
          <t>No findings</t>
        </is>
      </c>
      <c r="G17" t="inlineStr">
        <is>
          <t>Yes</t>
        </is>
      </c>
      <c r="H17" t="inlineStr">
        <is>
          <t>Completed</t>
        </is>
      </c>
    </row>
    <row r="18">
      <c r="A18" t="inlineStr">
        <is>
          <t>AUD017</t>
        </is>
      </c>
      <c r="B18" t="inlineStr">
        <is>
          <t>Management &amp; Leadership</t>
        </is>
      </c>
      <c r="C18" t="inlineStr">
        <is>
          <t>Quality Manager</t>
        </is>
      </c>
      <c r="D18" s="4" t="n">
        <v>46014.76746446259</v>
      </c>
      <c r="E18" s="4" t="n">
        <v>46024.76746446259</v>
      </c>
      <c r="F18" t="inlineStr">
        <is>
          <t>Major NC on training records</t>
        </is>
      </c>
      <c r="G18" t="inlineStr">
        <is>
          <t>Yes</t>
        </is>
      </c>
      <c r="H18" t="inlineStr">
        <is>
          <t>Completed</t>
        </is>
      </c>
    </row>
    <row r="19">
      <c r="A19" t="inlineStr">
        <is>
          <t>AUD018</t>
        </is>
      </c>
      <c r="B19" t="inlineStr">
        <is>
          <t>Improvement</t>
        </is>
      </c>
      <c r="C19" t="inlineStr">
        <is>
          <t>Internal Auditor 1</t>
        </is>
      </c>
      <c r="D19" s="4" t="n">
        <v>46038.76746446259</v>
      </c>
      <c r="E19" s="4" t="n">
        <v>46036.76746446259</v>
      </c>
      <c r="F19" t="inlineStr">
        <is>
          <t>Observation on calibration records</t>
        </is>
      </c>
      <c r="G19" t="inlineStr">
        <is>
          <t>Yes</t>
        </is>
      </c>
      <c r="H19" t="inlineStr">
        <is>
          <t>Completed</t>
        </is>
      </c>
    </row>
    <row r="20">
      <c r="A20" t="inlineStr">
        <is>
          <t>AUD019</t>
        </is>
      </c>
      <c r="B20" t="inlineStr">
        <is>
          <t>Sales &amp; Customer Engagement</t>
        </is>
      </c>
      <c r="C20" t="inlineStr">
        <is>
          <t>Quality Manager</t>
        </is>
      </c>
      <c r="D20" s="4" t="n">
        <v>46018.76746446259</v>
      </c>
      <c r="E20" s="4" t="n">
        <v>46014.76746446259</v>
      </c>
      <c r="F20" t="inlineStr">
        <is>
          <t>Minor NC on document control</t>
        </is>
      </c>
      <c r="G20" t="inlineStr">
        <is>
          <t>No</t>
        </is>
      </c>
      <c r="H20" t="inlineStr">
        <is>
          <t>Completed</t>
        </is>
      </c>
    </row>
    <row r="21">
      <c r="A21" t="inlineStr">
        <is>
          <t>AUD020</t>
        </is>
      </c>
      <c r="B21" t="inlineStr">
        <is>
          <t>Design &amp; Engineering</t>
        </is>
      </c>
      <c r="C21" t="inlineStr">
        <is>
          <t>Internal Auditor 2</t>
        </is>
      </c>
      <c r="D21" s="4" t="n">
        <v>46026.76746446259</v>
      </c>
      <c r="E21" s="4" t="n">
        <v>46029.76746446259</v>
      </c>
      <c r="F21" t="inlineStr">
        <is>
          <t>Major NC on training records</t>
        </is>
      </c>
      <c r="G21" t="inlineStr">
        <is>
          <t>Yes</t>
        </is>
      </c>
      <c r="H21" t="inlineStr">
        <is>
          <t>Completed</t>
        </is>
      </c>
    </row>
    <row r="22">
      <c r="A22" t="inlineStr">
        <is>
          <t>AUD021</t>
        </is>
      </c>
      <c r="B22" t="inlineStr">
        <is>
          <t>Procurement</t>
        </is>
      </c>
      <c r="C22" t="inlineStr">
        <is>
          <t>Internal Auditor 1</t>
        </is>
      </c>
      <c r="D22" s="4" t="n">
        <v>46043.76746446259</v>
      </c>
      <c r="E22" t="inlineStr"/>
      <c r="F22" t="inlineStr">
        <is>
          <t>Observation on calibration records</t>
        </is>
      </c>
      <c r="G22" t="inlineStr">
        <is>
          <t>No</t>
        </is>
      </c>
      <c r="H22" t="inlineStr">
        <is>
          <t>Planned</t>
        </is>
      </c>
    </row>
    <row r="23">
      <c r="A23" t="inlineStr">
        <is>
          <t>AUD022</t>
        </is>
      </c>
      <c r="B23" t="inlineStr">
        <is>
          <t>Production / Operations</t>
        </is>
      </c>
      <c r="C23" t="inlineStr">
        <is>
          <t>Quality Manager</t>
        </is>
      </c>
      <c r="D23" s="4" t="n">
        <v>45971.76746446259</v>
      </c>
      <c r="E23" s="4" t="n">
        <v>45977.76746446259</v>
      </c>
      <c r="F23" t="inlineStr">
        <is>
          <t>Observation on calibration records</t>
        </is>
      </c>
      <c r="G23" t="inlineStr">
        <is>
          <t>No</t>
        </is>
      </c>
      <c r="H23" t="inlineStr">
        <is>
          <t>Completed</t>
        </is>
      </c>
    </row>
    <row r="24">
      <c r="A24" t="inlineStr">
        <is>
          <t>AUD023</t>
        </is>
      </c>
      <c r="B24" t="inlineStr">
        <is>
          <t>Quality Control / Inspection</t>
        </is>
      </c>
      <c r="C24" t="inlineStr">
        <is>
          <t>Internal Auditor 2</t>
        </is>
      </c>
      <c r="D24" s="4" t="n">
        <v>45968.76746446259</v>
      </c>
      <c r="E24" t="inlineStr"/>
      <c r="F24" t="inlineStr">
        <is>
          <t>No findings</t>
        </is>
      </c>
      <c r="G24" t="inlineStr">
        <is>
          <t>Yes</t>
        </is>
      </c>
      <c r="H24" t="inlineStr">
        <is>
          <t>Planned</t>
        </is>
      </c>
    </row>
    <row r="25">
      <c r="A25" t="inlineStr">
        <is>
          <t>AUD024</t>
        </is>
      </c>
      <c r="B25" t="inlineStr">
        <is>
          <t>Logistics / Delivery</t>
        </is>
      </c>
      <c r="C25" t="inlineStr">
        <is>
          <t>Internal Auditor 1</t>
        </is>
      </c>
      <c r="D25" s="4" t="n">
        <v>46069.76746446259</v>
      </c>
      <c r="E25" t="inlineStr"/>
      <c r="F25" t="inlineStr">
        <is>
          <t>Major NC on training records</t>
        </is>
      </c>
      <c r="G25" t="inlineStr">
        <is>
          <t>No</t>
        </is>
      </c>
      <c r="H25" t="inlineStr">
        <is>
          <t>Planned</t>
        </is>
      </c>
    </row>
    <row r="26">
      <c r="A26" t="inlineStr">
        <is>
          <t>AUD025</t>
        </is>
      </c>
      <c r="B26" t="inlineStr">
        <is>
          <t>Support Services</t>
        </is>
      </c>
      <c r="C26" t="inlineStr">
        <is>
          <t>Internal Auditor 2</t>
        </is>
      </c>
      <c r="D26" s="4" t="n">
        <v>45969.76746446259</v>
      </c>
      <c r="E26" s="4" t="n">
        <v>45977.76746446259</v>
      </c>
      <c r="F26" t="inlineStr">
        <is>
          <t>Observation on calibration records</t>
        </is>
      </c>
      <c r="G26" t="inlineStr">
        <is>
          <t>Yes</t>
        </is>
      </c>
      <c r="H26" t="inlineStr">
        <is>
          <t>Completed</t>
        </is>
      </c>
    </row>
    <row r="27">
      <c r="A27" t="inlineStr">
        <is>
          <t>AUD026</t>
        </is>
      </c>
      <c r="B27" t="inlineStr">
        <is>
          <t>Management &amp; Leadership</t>
        </is>
      </c>
      <c r="C27" t="inlineStr">
        <is>
          <t>Quality Manager</t>
        </is>
      </c>
      <c r="D27" s="4" t="n">
        <v>46058.76746446259</v>
      </c>
      <c r="E27" s="4" t="n">
        <v>46064.76746446259</v>
      </c>
      <c r="F27" t="inlineStr">
        <is>
          <t>No findings</t>
        </is>
      </c>
      <c r="G27" t="inlineStr">
        <is>
          <t>No</t>
        </is>
      </c>
      <c r="H27" t="inlineStr">
        <is>
          <t>Completed</t>
        </is>
      </c>
    </row>
    <row r="28">
      <c r="A28" t="inlineStr">
        <is>
          <t>AUD027</t>
        </is>
      </c>
      <c r="B28" t="inlineStr">
        <is>
          <t>Improvement</t>
        </is>
      </c>
      <c r="C28" t="inlineStr">
        <is>
          <t>Internal Auditor 2</t>
        </is>
      </c>
      <c r="D28" s="4" t="n">
        <v>46059.76746446259</v>
      </c>
      <c r="E28" t="inlineStr"/>
      <c r="F28" t="inlineStr">
        <is>
          <t>No findings</t>
        </is>
      </c>
      <c r="G28" t="inlineStr">
        <is>
          <t>No</t>
        </is>
      </c>
      <c r="H28" t="inlineStr">
        <is>
          <t>Planned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Doc No</t>
        </is>
      </c>
      <c r="B1" s="3" t="inlineStr">
        <is>
          <t>Title</t>
        </is>
      </c>
      <c r="C1" s="3" t="inlineStr">
        <is>
          <t>Owner</t>
        </is>
      </c>
      <c r="D1" s="3" t="inlineStr">
        <is>
          <t>Rev</t>
        </is>
      </c>
      <c r="E1" s="3" t="inlineStr">
        <is>
          <t>Issue Date</t>
        </is>
      </c>
      <c r="F1" s="3" t="inlineStr">
        <is>
          <t>Next Review</t>
        </is>
      </c>
      <c r="G1" s="3" t="inlineStr">
        <is>
          <t>Status</t>
        </is>
      </c>
    </row>
    <row r="2">
      <c r="A2" t="inlineStr">
        <is>
          <t>QMS-001</t>
        </is>
      </c>
      <c r="B2" t="inlineStr">
        <is>
          <t>Quality Manual</t>
        </is>
      </c>
      <c r="C2" t="inlineStr">
        <is>
          <t>Engineering Manager</t>
        </is>
      </c>
      <c r="D2" t="n">
        <v>2</v>
      </c>
      <c r="E2" s="4" t="n">
        <v>45887.76746446259</v>
      </c>
      <c r="F2" s="4" t="n">
        <v>46252.76746446259</v>
      </c>
      <c r="G2" t="inlineStr">
        <is>
          <t>Obsolete</t>
        </is>
      </c>
    </row>
    <row r="3">
      <c r="A3" t="inlineStr">
        <is>
          <t>QMS-002</t>
        </is>
      </c>
      <c r="B3" t="inlineStr">
        <is>
          <t>Document Control Procedure</t>
        </is>
      </c>
      <c r="C3" t="inlineStr">
        <is>
          <t>Engineering Manager</t>
        </is>
      </c>
      <c r="D3" t="n">
        <v>5</v>
      </c>
      <c r="E3" s="4" t="n">
        <v>45780.76746446259</v>
      </c>
      <c r="F3" s="4" t="n">
        <v>46145.76746446259</v>
      </c>
      <c r="G3" t="inlineStr">
        <is>
          <t>Active</t>
        </is>
      </c>
    </row>
    <row r="4">
      <c r="A4" t="inlineStr">
        <is>
          <t>QMS-003</t>
        </is>
      </c>
      <c r="B4" t="inlineStr">
        <is>
          <t>Internal Audit Procedure</t>
        </is>
      </c>
      <c r="C4" t="inlineStr">
        <is>
          <t>Ops Manager</t>
        </is>
      </c>
      <c r="D4" t="n">
        <v>5</v>
      </c>
      <c r="E4" s="4" t="n">
        <v>45922.76746446259</v>
      </c>
      <c r="F4" s="4" t="n">
        <v>46287.76746446259</v>
      </c>
      <c r="G4" t="inlineStr">
        <is>
          <t>Active</t>
        </is>
      </c>
    </row>
    <row r="5">
      <c r="A5" t="inlineStr">
        <is>
          <t>OPS-001</t>
        </is>
      </c>
      <c r="B5" t="inlineStr">
        <is>
          <t>Pump Refurbishment WI</t>
        </is>
      </c>
      <c r="C5" t="inlineStr">
        <is>
          <t>Ops Manager</t>
        </is>
      </c>
      <c r="D5" t="n">
        <v>5</v>
      </c>
      <c r="E5" s="4" t="n">
        <v>45839.76746446259</v>
      </c>
      <c r="F5" s="4" t="n">
        <v>46204.76746446259</v>
      </c>
      <c r="G5" t="inlineStr">
        <is>
          <t>Obsolete</t>
        </is>
      </c>
    </row>
    <row r="6">
      <c r="A6" t="inlineStr">
        <is>
          <t>OPS-002</t>
        </is>
      </c>
      <c r="B6" t="inlineStr">
        <is>
          <t>Boiler Tube Replacement WI</t>
        </is>
      </c>
      <c r="C6" t="inlineStr">
        <is>
          <t>Ops Manager</t>
        </is>
      </c>
      <c r="D6" t="n">
        <v>5</v>
      </c>
      <c r="E6" s="4" t="n">
        <v>45841.76746446259</v>
      </c>
      <c r="F6" s="4" t="n">
        <v>46206.76746446259</v>
      </c>
      <c r="G6" t="inlineStr">
        <is>
          <t>Obsolete</t>
        </is>
      </c>
    </row>
    <row r="7">
      <c r="A7" t="inlineStr">
        <is>
          <t>OPS-003</t>
        </is>
      </c>
      <c r="B7" t="inlineStr">
        <is>
          <t>Furnace Rebuild WI</t>
        </is>
      </c>
      <c r="C7" t="inlineStr">
        <is>
          <t>Ops Manager</t>
        </is>
      </c>
      <c r="D7" t="n">
        <v>3</v>
      </c>
      <c r="E7" s="4" t="n">
        <v>45924.76746446259</v>
      </c>
      <c r="F7" s="4" t="n">
        <v>46289.76746446259</v>
      </c>
      <c r="G7" t="inlineStr">
        <is>
          <t>Obsolete</t>
        </is>
      </c>
    </row>
    <row r="8">
      <c r="A8" t="inlineStr">
        <is>
          <t>OPS-004</t>
        </is>
      </c>
      <c r="B8" t="inlineStr">
        <is>
          <t>Mine Drainage Pump Overhaul WI</t>
        </is>
      </c>
      <c r="C8" t="inlineStr">
        <is>
          <t>Ops Manager</t>
        </is>
      </c>
      <c r="D8" t="n">
        <v>1</v>
      </c>
      <c r="E8" s="4" t="n">
        <v>46000.76746446259</v>
      </c>
      <c r="F8" s="4" t="n">
        <v>46365.76746446259</v>
      </c>
      <c r="G8" t="inlineStr">
        <is>
          <t>Obsolete</t>
        </is>
      </c>
    </row>
    <row r="9">
      <c r="A9" t="inlineStr">
        <is>
          <t>ENG-001</t>
        </is>
      </c>
      <c r="B9" t="inlineStr">
        <is>
          <t>Design Review Procedure</t>
        </is>
      </c>
      <c r="C9" t="inlineStr">
        <is>
          <t>Quality Manager</t>
        </is>
      </c>
      <c r="D9" t="n">
        <v>2</v>
      </c>
      <c r="E9" s="4" t="n">
        <v>45871.76746446259</v>
      </c>
      <c r="F9" s="4" t="n">
        <v>46236.76746446259</v>
      </c>
      <c r="G9" t="inlineStr">
        <is>
          <t>Active</t>
        </is>
      </c>
    </row>
    <row r="10">
      <c r="A10" t="inlineStr">
        <is>
          <t>SAF-001</t>
        </is>
      </c>
      <c r="B10" t="inlineStr">
        <is>
          <t>Safety Procedure – Hot Work</t>
        </is>
      </c>
      <c r="C10" t="inlineStr">
        <is>
          <t>Quality Manager</t>
        </is>
      </c>
      <c r="D10" t="n">
        <v>1</v>
      </c>
      <c r="E10" s="4" t="n">
        <v>45932.76746446259</v>
      </c>
      <c r="F10" s="4" t="n">
        <v>46297.76746446259</v>
      </c>
      <c r="G10" t="inlineStr">
        <is>
          <t>Obsolete</t>
        </is>
      </c>
    </row>
    <row r="11">
      <c r="A11" t="inlineStr">
        <is>
          <t>SAF-002</t>
        </is>
      </c>
      <c r="B11" t="inlineStr">
        <is>
          <t>Lockout/Tagout Procedure</t>
        </is>
      </c>
      <c r="C11" t="inlineStr">
        <is>
          <t>Quality Manager</t>
        </is>
      </c>
      <c r="D11" t="n">
        <v>2</v>
      </c>
      <c r="E11" s="4" t="n">
        <v>45809.76746446259</v>
      </c>
      <c r="F11" s="4" t="n">
        <v>46174.76746446259</v>
      </c>
      <c r="G11" t="inlineStr">
        <is>
          <t>Obsolete</t>
        </is>
      </c>
    </row>
  </sheetData>
  <conditionalFormatting sqref="G2:G500">
    <cfRule type="cellIs" priority="1" operator="equal" dxfId="1">
      <formula>"Review Due"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6" customWidth="1" min="5" max="5"/>
    <col width="15" customWidth="1" min="6" max="6"/>
    <col width="15" customWidth="1" min="7" max="7"/>
  </cols>
  <sheetData>
    <row r="1">
      <c r="A1" s="3" t="inlineStr">
        <is>
          <t>Employee</t>
        </is>
      </c>
      <c r="B1" s="3" t="inlineStr">
        <is>
          <t>Role</t>
        </is>
      </c>
      <c r="C1" s="3" t="inlineStr">
        <is>
          <t>Competence</t>
        </is>
      </c>
      <c r="D1" s="3" t="inlineStr">
        <is>
          <t>Training Type</t>
        </is>
      </c>
      <c r="E1" s="3" t="inlineStr">
        <is>
          <t>Date Completed</t>
        </is>
      </c>
      <c r="F1" s="3" t="inlineStr">
        <is>
          <t>Next Due</t>
        </is>
      </c>
      <c r="G1" s="3" t="inlineStr">
        <is>
          <t>Status</t>
        </is>
      </c>
    </row>
    <row r="2">
      <c r="A2" t="inlineStr">
        <is>
          <t>Supervisor 2</t>
        </is>
      </c>
      <c r="B2" t="inlineStr">
        <is>
          <t>Artisan</t>
        </is>
      </c>
      <c r="C2" t="inlineStr">
        <is>
          <t>Boiler Tube Replacement</t>
        </is>
      </c>
      <c r="D2" t="inlineStr">
        <is>
          <t>Online</t>
        </is>
      </c>
      <c r="E2" s="4" t="n">
        <v>46038.76746446259</v>
      </c>
      <c r="F2" s="4" t="n">
        <v>46403.76746446259</v>
      </c>
      <c r="G2" t="inlineStr">
        <is>
          <t>Valid</t>
        </is>
      </c>
    </row>
    <row r="3">
      <c r="A3" t="inlineStr">
        <is>
          <t>Artisan C</t>
        </is>
      </c>
      <c r="B3" t="inlineStr">
        <is>
          <t>Artisan</t>
        </is>
      </c>
      <c r="C3" t="inlineStr">
        <is>
          <t>Rigging Level 2</t>
        </is>
      </c>
      <c r="D3" t="inlineStr">
        <is>
          <t>External</t>
        </is>
      </c>
      <c r="E3" s="4" t="n">
        <v>45797.76746446259</v>
      </c>
      <c r="F3" s="4" t="n">
        <v>46527.76746446259</v>
      </c>
      <c r="G3" t="inlineStr">
        <is>
          <t>Valid</t>
        </is>
      </c>
    </row>
    <row r="4">
      <c r="A4" t="inlineStr">
        <is>
          <t>Inspector 2</t>
        </is>
      </c>
      <c r="B4" t="inlineStr">
        <is>
          <t>Artisan</t>
        </is>
      </c>
      <c r="C4" t="inlineStr">
        <is>
          <t>ISO 9001 Awareness</t>
        </is>
      </c>
      <c r="D4" t="inlineStr">
        <is>
          <t>Internal</t>
        </is>
      </c>
      <c r="E4" s="4" t="n">
        <v>45593.76746446259</v>
      </c>
      <c r="F4" s="4" t="n">
        <v>46323.76746446259</v>
      </c>
      <c r="G4" t="inlineStr">
        <is>
          <t>Valid</t>
        </is>
      </c>
    </row>
    <row r="5">
      <c r="A5" t="inlineStr">
        <is>
          <t>Supervisor 2</t>
        </is>
      </c>
      <c r="B5" t="inlineStr">
        <is>
          <t>Rigger</t>
        </is>
      </c>
      <c r="C5" t="inlineStr">
        <is>
          <t>Furnace Rebuild</t>
        </is>
      </c>
      <c r="D5" t="inlineStr">
        <is>
          <t>Internal</t>
        </is>
      </c>
      <c r="E5" s="4" t="n">
        <v>45578.76746446259</v>
      </c>
      <c r="F5" s="4" t="n">
        <v>45943.76746446259</v>
      </c>
      <c r="G5" t="inlineStr">
        <is>
          <t>Expired</t>
        </is>
      </c>
    </row>
    <row r="6">
      <c r="A6" t="inlineStr">
        <is>
          <t>Artisan B</t>
        </is>
      </c>
      <c r="B6" t="inlineStr">
        <is>
          <t>Artisan</t>
        </is>
      </c>
      <c r="C6" t="inlineStr">
        <is>
          <t>Furnace Rebuild</t>
        </is>
      </c>
      <c r="D6" t="inlineStr">
        <is>
          <t>External</t>
        </is>
      </c>
      <c r="E6" s="4" t="n">
        <v>46004.76746446259</v>
      </c>
      <c r="F6" s="4" t="n">
        <v>46369.76746446259</v>
      </c>
      <c r="G6" t="inlineStr">
        <is>
          <t>Valid</t>
        </is>
      </c>
    </row>
    <row r="7">
      <c r="A7" t="inlineStr">
        <is>
          <t>Rigger 1</t>
        </is>
      </c>
      <c r="B7" t="inlineStr">
        <is>
          <t>Inspector</t>
        </is>
      </c>
      <c r="C7" t="inlineStr">
        <is>
          <t>Rigging Level 2</t>
        </is>
      </c>
      <c r="D7" t="inlineStr">
        <is>
          <t>OEM</t>
        </is>
      </c>
      <c r="E7" s="4" t="n">
        <v>45585.76746446259</v>
      </c>
      <c r="F7" s="4" t="n">
        <v>45950.76746446259</v>
      </c>
      <c r="G7" t="inlineStr">
        <is>
          <t>Expired</t>
        </is>
      </c>
    </row>
    <row r="8">
      <c r="A8" t="inlineStr">
        <is>
          <t>Rigger 1</t>
        </is>
      </c>
      <c r="B8" t="inlineStr">
        <is>
          <t>Artisan</t>
        </is>
      </c>
      <c r="C8" t="inlineStr">
        <is>
          <t>Pump Overhaul</t>
        </is>
      </c>
      <c r="D8" t="inlineStr">
        <is>
          <t>OEM</t>
        </is>
      </c>
      <c r="E8" s="4" t="n">
        <v>45711.76746446259</v>
      </c>
      <c r="F8" s="4" t="n">
        <v>46076.76746446259</v>
      </c>
      <c r="G8" t="inlineStr">
        <is>
          <t>Valid</t>
        </is>
      </c>
    </row>
    <row r="9">
      <c r="A9" t="inlineStr">
        <is>
          <t>Supervisor 2</t>
        </is>
      </c>
      <c r="B9" t="inlineStr">
        <is>
          <t>Rigger</t>
        </is>
      </c>
      <c r="C9" t="inlineStr">
        <is>
          <t>Boiler Tube Replacement</t>
        </is>
      </c>
      <c r="D9" t="inlineStr">
        <is>
          <t>OEM</t>
        </is>
      </c>
      <c r="E9" s="4" t="n">
        <v>45837.76746446259</v>
      </c>
      <c r="F9" s="4" t="n">
        <v>46567.76746446259</v>
      </c>
      <c r="G9" t="inlineStr">
        <is>
          <t>Valid</t>
        </is>
      </c>
    </row>
    <row r="10">
      <c r="A10" t="inlineStr">
        <is>
          <t>Supervisor 2</t>
        </is>
      </c>
      <c r="B10" t="inlineStr">
        <is>
          <t>Inspector</t>
        </is>
      </c>
      <c r="C10" t="inlineStr">
        <is>
          <t>NDT Level 2</t>
        </is>
      </c>
      <c r="D10" t="inlineStr">
        <is>
          <t>OEM</t>
        </is>
      </c>
      <c r="E10" s="4" t="n">
        <v>45376.76746446259</v>
      </c>
      <c r="F10" s="4" t="n">
        <v>45741.76746446259</v>
      </c>
      <c r="G10" t="inlineStr">
        <is>
          <t>Expired</t>
        </is>
      </c>
    </row>
    <row r="11">
      <c r="A11" t="inlineStr">
        <is>
          <t>Inspector 1</t>
        </is>
      </c>
      <c r="B11" t="inlineStr">
        <is>
          <t>Inspector</t>
        </is>
      </c>
      <c r="C11" t="inlineStr">
        <is>
          <t>NDT Level 2</t>
        </is>
      </c>
      <c r="D11" t="inlineStr">
        <is>
          <t>External</t>
        </is>
      </c>
      <c r="E11" s="4" t="n">
        <v>45718.76746446259</v>
      </c>
      <c r="F11" s="4" t="n">
        <v>46083.76746446259</v>
      </c>
      <c r="G11" t="inlineStr">
        <is>
          <t>Valid</t>
        </is>
      </c>
    </row>
    <row r="12">
      <c r="A12" t="inlineStr">
        <is>
          <t>Supervisor 1</t>
        </is>
      </c>
      <c r="B12" t="inlineStr">
        <is>
          <t>Artisan</t>
        </is>
      </c>
      <c r="C12" t="inlineStr">
        <is>
          <t>Rigging Level 2</t>
        </is>
      </c>
      <c r="D12" t="inlineStr">
        <is>
          <t>OEM</t>
        </is>
      </c>
      <c r="E12" s="4" t="n">
        <v>45987.76746446259</v>
      </c>
      <c r="F12" s="4" t="n">
        <v>46717.76746446259</v>
      </c>
      <c r="G12" t="inlineStr">
        <is>
          <t>Valid</t>
        </is>
      </c>
    </row>
    <row r="13">
      <c r="A13" t="inlineStr">
        <is>
          <t>Supervisor 2</t>
        </is>
      </c>
      <c r="B13" t="inlineStr">
        <is>
          <t>Inspector</t>
        </is>
      </c>
      <c r="C13" t="inlineStr">
        <is>
          <t>NDT Level 2</t>
        </is>
      </c>
      <c r="D13" t="inlineStr">
        <is>
          <t>External</t>
        </is>
      </c>
      <c r="E13" s="4" t="n">
        <v>45351.76746446259</v>
      </c>
      <c r="F13" s="4" t="n">
        <v>46081.76746446259</v>
      </c>
      <c r="G13" t="inlineStr">
        <is>
          <t>Valid</t>
        </is>
      </c>
    </row>
    <row r="14">
      <c r="A14" t="inlineStr">
        <is>
          <t>Artisan A</t>
        </is>
      </c>
      <c r="B14" t="inlineStr">
        <is>
          <t>Welder</t>
        </is>
      </c>
      <c r="C14" t="inlineStr">
        <is>
          <t>Rigging Level 2</t>
        </is>
      </c>
      <c r="D14" t="inlineStr">
        <is>
          <t>OEM</t>
        </is>
      </c>
      <c r="E14" s="4" t="n">
        <v>45427.76746446259</v>
      </c>
      <c r="F14" s="4" t="n">
        <v>46157.76746446259</v>
      </c>
      <c r="G14" t="inlineStr">
        <is>
          <t>Valid</t>
        </is>
      </c>
    </row>
    <row r="15">
      <c r="A15" t="inlineStr">
        <is>
          <t>Inspector 1</t>
        </is>
      </c>
      <c r="B15" t="inlineStr">
        <is>
          <t>Welder</t>
        </is>
      </c>
      <c r="C15" t="inlineStr">
        <is>
          <t>ISO 9001 Awareness</t>
        </is>
      </c>
      <c r="D15" t="inlineStr">
        <is>
          <t>External</t>
        </is>
      </c>
      <c r="E15" s="4" t="n">
        <v>45706.76746446259</v>
      </c>
      <c r="F15" s="4" t="n">
        <v>46436.76746446259</v>
      </c>
      <c r="G15" t="inlineStr">
        <is>
          <t>Valid</t>
        </is>
      </c>
    </row>
    <row r="16">
      <c r="A16" t="inlineStr">
        <is>
          <t>Artisan B</t>
        </is>
      </c>
      <c r="B16" t="inlineStr">
        <is>
          <t>Inspector</t>
        </is>
      </c>
      <c r="C16" t="inlineStr">
        <is>
          <t>Boiler Tube Replacement</t>
        </is>
      </c>
      <c r="D16" t="inlineStr">
        <is>
          <t>External</t>
        </is>
      </c>
      <c r="E16" s="4" t="n">
        <v>45443.76746446259</v>
      </c>
      <c r="F16" s="4" t="n">
        <v>46173.76746446259</v>
      </c>
      <c r="G16" t="inlineStr">
        <is>
          <t>Valid</t>
        </is>
      </c>
    </row>
    <row r="17">
      <c r="A17" t="inlineStr">
        <is>
          <t>Rigger 1</t>
        </is>
      </c>
      <c r="B17" t="inlineStr">
        <is>
          <t>Artisan</t>
        </is>
      </c>
      <c r="C17" t="inlineStr">
        <is>
          <t>Furnace Rebuild</t>
        </is>
      </c>
      <c r="D17" t="inlineStr">
        <is>
          <t>Internal</t>
        </is>
      </c>
      <c r="E17" s="4" t="n">
        <v>45999.76746446259</v>
      </c>
      <c r="F17" s="4" t="n">
        <v>46364.76746446259</v>
      </c>
      <c r="G17" t="inlineStr">
        <is>
          <t>Valid</t>
        </is>
      </c>
    </row>
    <row r="18">
      <c r="A18" t="inlineStr">
        <is>
          <t>Rigger 1</t>
        </is>
      </c>
      <c r="B18" t="inlineStr">
        <is>
          <t>Supervisor</t>
        </is>
      </c>
      <c r="C18" t="inlineStr">
        <is>
          <t>Pump Overhaul</t>
        </is>
      </c>
      <c r="D18" t="inlineStr">
        <is>
          <t>Internal</t>
        </is>
      </c>
      <c r="E18" s="4" t="n">
        <v>45625.76746446259</v>
      </c>
      <c r="F18" s="4" t="n">
        <v>45990.76746446259</v>
      </c>
      <c r="G18" t="inlineStr">
        <is>
          <t>Expired</t>
        </is>
      </c>
    </row>
    <row r="19">
      <c r="A19" t="inlineStr">
        <is>
          <t>Inspector 2</t>
        </is>
      </c>
      <c r="B19" t="inlineStr">
        <is>
          <t>Welder</t>
        </is>
      </c>
      <c r="C19" t="inlineStr">
        <is>
          <t>NDT Level 2</t>
        </is>
      </c>
      <c r="D19" t="inlineStr">
        <is>
          <t>Online</t>
        </is>
      </c>
      <c r="E19" s="4" t="n">
        <v>45708.76746446259</v>
      </c>
      <c r="F19" s="4" t="n">
        <v>46073.76746446259</v>
      </c>
      <c r="G19" t="inlineStr">
        <is>
          <t>Expired</t>
        </is>
      </c>
    </row>
    <row r="20">
      <c r="A20" t="inlineStr">
        <is>
          <t>Rigger 1</t>
        </is>
      </c>
      <c r="B20" t="inlineStr">
        <is>
          <t>Artisan</t>
        </is>
      </c>
      <c r="C20" t="inlineStr">
        <is>
          <t>ISO 9001 Awareness</t>
        </is>
      </c>
      <c r="D20" t="inlineStr">
        <is>
          <t>Internal</t>
        </is>
      </c>
      <c r="E20" s="4" t="n">
        <v>45754.76746446259</v>
      </c>
      <c r="F20" s="4" t="n">
        <v>46484.76746446259</v>
      </c>
      <c r="G20" t="inlineStr">
        <is>
          <t>Valid</t>
        </is>
      </c>
    </row>
    <row r="21">
      <c r="A21" t="inlineStr">
        <is>
          <t>Inspector 1</t>
        </is>
      </c>
      <c r="B21" t="inlineStr">
        <is>
          <t>Rigger</t>
        </is>
      </c>
      <c r="C21" t="inlineStr">
        <is>
          <t>Rigging Level 2</t>
        </is>
      </c>
      <c r="D21" t="inlineStr">
        <is>
          <t>Internal</t>
        </is>
      </c>
      <c r="E21" s="4" t="n">
        <v>45999.76746446259</v>
      </c>
      <c r="F21" s="4" t="n">
        <v>46729.76746446259</v>
      </c>
      <c r="G21" t="inlineStr">
        <is>
          <t>Valid</t>
        </is>
      </c>
    </row>
    <row r="22">
      <c r="A22" t="inlineStr">
        <is>
          <t>Inspector 2</t>
        </is>
      </c>
      <c r="B22" t="inlineStr">
        <is>
          <t>Inspector</t>
        </is>
      </c>
      <c r="C22" t="inlineStr">
        <is>
          <t>ISO 9001 Awareness</t>
        </is>
      </c>
      <c r="D22" t="inlineStr">
        <is>
          <t>OEM</t>
        </is>
      </c>
      <c r="E22" s="4" t="n">
        <v>46000.76746446259</v>
      </c>
      <c r="F22" s="4" t="n">
        <v>46730.76746446259</v>
      </c>
      <c r="G22" t="inlineStr">
        <is>
          <t>Valid</t>
        </is>
      </c>
    </row>
    <row r="23">
      <c r="A23" t="inlineStr">
        <is>
          <t>Supervisor 1</t>
        </is>
      </c>
      <c r="B23" t="inlineStr">
        <is>
          <t>Inspector</t>
        </is>
      </c>
      <c r="C23" t="inlineStr">
        <is>
          <t>Pump Overhaul</t>
        </is>
      </c>
      <c r="D23" t="inlineStr">
        <is>
          <t>Internal</t>
        </is>
      </c>
      <c r="E23" s="4" t="n">
        <v>45842.76746446259</v>
      </c>
      <c r="F23" s="4" t="n">
        <v>46207.76746446259</v>
      </c>
      <c r="G23" t="inlineStr">
        <is>
          <t>Valid</t>
        </is>
      </c>
    </row>
    <row r="24">
      <c r="A24" t="inlineStr">
        <is>
          <t>Artisan A</t>
        </is>
      </c>
      <c r="B24" t="inlineStr">
        <is>
          <t>Inspector</t>
        </is>
      </c>
      <c r="C24" t="inlineStr">
        <is>
          <t>Rigging Level 2</t>
        </is>
      </c>
      <c r="D24" t="inlineStr">
        <is>
          <t>Online</t>
        </is>
      </c>
      <c r="E24" s="4" t="n">
        <v>45602.76746446259</v>
      </c>
      <c r="F24" s="4" t="n">
        <v>45967.76746446259</v>
      </c>
      <c r="G24" t="inlineStr">
        <is>
          <t>Expired</t>
        </is>
      </c>
    </row>
    <row r="25">
      <c r="A25" t="inlineStr">
        <is>
          <t>Artisan B</t>
        </is>
      </c>
      <c r="B25" t="inlineStr">
        <is>
          <t>Artisan</t>
        </is>
      </c>
      <c r="C25" t="inlineStr">
        <is>
          <t>Pump Overhaul</t>
        </is>
      </c>
      <c r="D25" t="inlineStr">
        <is>
          <t>OEM</t>
        </is>
      </c>
      <c r="E25" s="4" t="n">
        <v>45415.76746446259</v>
      </c>
      <c r="F25" s="4" t="n">
        <v>45780.76746446259</v>
      </c>
      <c r="G25" t="inlineStr">
        <is>
          <t>Expired</t>
        </is>
      </c>
    </row>
    <row r="26">
      <c r="A26" t="inlineStr">
        <is>
          <t>Artisan B</t>
        </is>
      </c>
      <c r="B26" t="inlineStr">
        <is>
          <t>Inspector</t>
        </is>
      </c>
      <c r="C26" t="inlineStr">
        <is>
          <t>Rigging Level 2</t>
        </is>
      </c>
      <c r="D26" t="inlineStr">
        <is>
          <t>Online</t>
        </is>
      </c>
      <c r="E26" s="4" t="n">
        <v>45736.76746446259</v>
      </c>
      <c r="F26" s="4" t="n">
        <v>46101.76746446259</v>
      </c>
      <c r="G26" t="inlineStr">
        <is>
          <t>Valid</t>
        </is>
      </c>
    </row>
    <row r="27">
      <c r="A27" t="inlineStr">
        <is>
          <t>Supervisor 2</t>
        </is>
      </c>
      <c r="B27" t="inlineStr">
        <is>
          <t>Artisan</t>
        </is>
      </c>
      <c r="C27" t="inlineStr">
        <is>
          <t>Pump Overhaul</t>
        </is>
      </c>
      <c r="D27" t="inlineStr">
        <is>
          <t>Internal</t>
        </is>
      </c>
      <c r="E27" s="4" t="n">
        <v>46005.76746446259</v>
      </c>
      <c r="F27" s="4" t="n">
        <v>46370.76746446259</v>
      </c>
      <c r="G27" t="inlineStr">
        <is>
          <t>Valid</t>
        </is>
      </c>
    </row>
    <row r="28">
      <c r="A28" t="inlineStr">
        <is>
          <t>Inspector 1</t>
        </is>
      </c>
      <c r="B28" t="inlineStr">
        <is>
          <t>Rigger</t>
        </is>
      </c>
      <c r="C28" t="inlineStr">
        <is>
          <t>ISO 9001 Awareness</t>
        </is>
      </c>
      <c r="D28" t="inlineStr">
        <is>
          <t>Online</t>
        </is>
      </c>
      <c r="E28" s="4" t="n">
        <v>45733.76746446259</v>
      </c>
      <c r="F28" s="4" t="n">
        <v>46463.76746446259</v>
      </c>
      <c r="G28" t="inlineStr">
        <is>
          <t>Valid</t>
        </is>
      </c>
    </row>
    <row r="29">
      <c r="A29" t="inlineStr">
        <is>
          <t>Supervisor 2</t>
        </is>
      </c>
      <c r="B29" t="inlineStr">
        <is>
          <t>Artisan</t>
        </is>
      </c>
      <c r="C29" t="inlineStr">
        <is>
          <t>Boiler Tube Replacement</t>
        </is>
      </c>
      <c r="D29" t="inlineStr">
        <is>
          <t>OEM</t>
        </is>
      </c>
      <c r="E29" s="4" t="n">
        <v>45840.76746446259</v>
      </c>
      <c r="F29" s="4" t="n">
        <v>46570.76746446259</v>
      </c>
      <c r="G29" t="inlineStr">
        <is>
          <t>Valid</t>
        </is>
      </c>
    </row>
    <row r="30">
      <c r="A30" t="inlineStr">
        <is>
          <t>Welder 2</t>
        </is>
      </c>
      <c r="B30" t="inlineStr">
        <is>
          <t>Rigger</t>
        </is>
      </c>
      <c r="C30" t="inlineStr">
        <is>
          <t>Boiler Tube Replacement</t>
        </is>
      </c>
      <c r="D30" t="inlineStr">
        <is>
          <t>Online</t>
        </is>
      </c>
      <c r="E30" s="4" t="n">
        <v>45403.76746446259</v>
      </c>
      <c r="F30" s="4" t="n">
        <v>46133.76746446259</v>
      </c>
      <c r="G30" t="inlineStr">
        <is>
          <t>Valid</t>
        </is>
      </c>
    </row>
    <row r="31">
      <c r="A31" t="inlineStr">
        <is>
          <t>Welder 2</t>
        </is>
      </c>
      <c r="B31" t="inlineStr">
        <is>
          <t>Welder</t>
        </is>
      </c>
      <c r="C31" t="inlineStr">
        <is>
          <t>NDT Level 2</t>
        </is>
      </c>
      <c r="D31" t="inlineStr">
        <is>
          <t>OEM</t>
        </is>
      </c>
      <c r="E31" s="4" t="n">
        <v>45655.76746446259</v>
      </c>
      <c r="F31" s="4" t="n">
        <v>46385.76746446259</v>
      </c>
      <c r="G31" t="inlineStr">
        <is>
          <t>Valid</t>
        </is>
      </c>
    </row>
    <row r="32">
      <c r="A32" t="inlineStr">
        <is>
          <t>Supervisor 1</t>
        </is>
      </c>
      <c r="B32" t="inlineStr">
        <is>
          <t>Inspector</t>
        </is>
      </c>
      <c r="C32" t="inlineStr">
        <is>
          <t>Rigging Level 2</t>
        </is>
      </c>
      <c r="D32" t="inlineStr">
        <is>
          <t>Internal</t>
        </is>
      </c>
      <c r="E32" s="4" t="n">
        <v>46008.76746446259</v>
      </c>
      <c r="F32" s="4" t="n">
        <v>46738.76746446259</v>
      </c>
      <c r="G32" t="inlineStr">
        <is>
          <t>Valid</t>
        </is>
      </c>
    </row>
    <row r="33">
      <c r="A33" t="inlineStr">
        <is>
          <t>Artisan C</t>
        </is>
      </c>
      <c r="B33" t="inlineStr">
        <is>
          <t>Artisan</t>
        </is>
      </c>
      <c r="C33" t="inlineStr">
        <is>
          <t>Rigging Level 2</t>
        </is>
      </c>
      <c r="D33" t="inlineStr">
        <is>
          <t>Online</t>
        </is>
      </c>
      <c r="E33" s="4" t="n">
        <v>45898.76746446259</v>
      </c>
      <c r="F33" s="4" t="n">
        <v>46263.76746446259</v>
      </c>
      <c r="G33" t="inlineStr">
        <is>
          <t>Valid</t>
        </is>
      </c>
    </row>
    <row r="34">
      <c r="A34" t="inlineStr">
        <is>
          <t>Artisan B</t>
        </is>
      </c>
      <c r="B34" t="inlineStr">
        <is>
          <t>Inspector</t>
        </is>
      </c>
      <c r="C34" t="inlineStr">
        <is>
          <t>Boiler Tube Replacement</t>
        </is>
      </c>
      <c r="D34" t="inlineStr">
        <is>
          <t>Online</t>
        </is>
      </c>
      <c r="E34" s="4" t="n">
        <v>45954.76746446259</v>
      </c>
      <c r="F34" s="4" t="n">
        <v>46684.76746446259</v>
      </c>
      <c r="G34" t="inlineStr">
        <is>
          <t>Valid</t>
        </is>
      </c>
    </row>
    <row r="35">
      <c r="A35" t="inlineStr">
        <is>
          <t>Inspector 2</t>
        </is>
      </c>
      <c r="B35" t="inlineStr">
        <is>
          <t>Rigger</t>
        </is>
      </c>
      <c r="C35" t="inlineStr">
        <is>
          <t>Pump Overhaul</t>
        </is>
      </c>
      <c r="D35" t="inlineStr">
        <is>
          <t>External</t>
        </is>
      </c>
      <c r="E35" s="4" t="n">
        <v>45471.76746446259</v>
      </c>
      <c r="F35" s="4" t="n">
        <v>46201.76746446259</v>
      </c>
      <c r="G35" t="inlineStr">
        <is>
          <t>Valid</t>
        </is>
      </c>
    </row>
    <row r="36">
      <c r="A36" t="inlineStr">
        <is>
          <t>Supervisor 2</t>
        </is>
      </c>
      <c r="B36" t="inlineStr">
        <is>
          <t>Artisan</t>
        </is>
      </c>
      <c r="C36" t="inlineStr">
        <is>
          <t>NDT Level 2</t>
        </is>
      </c>
      <c r="D36" t="inlineStr">
        <is>
          <t>Online</t>
        </is>
      </c>
      <c r="E36" s="4" t="n">
        <v>45828.76746446259</v>
      </c>
      <c r="F36" s="4" t="n">
        <v>46193.76746446259</v>
      </c>
      <c r="G36" t="inlineStr">
        <is>
          <t>Valid</t>
        </is>
      </c>
    </row>
    <row r="37">
      <c r="A37" t="inlineStr">
        <is>
          <t>Artisan A</t>
        </is>
      </c>
      <c r="B37" t="inlineStr">
        <is>
          <t>Supervisor</t>
        </is>
      </c>
      <c r="C37" t="inlineStr">
        <is>
          <t>Rigging Level 2</t>
        </is>
      </c>
      <c r="D37" t="inlineStr">
        <is>
          <t>Internal</t>
        </is>
      </c>
      <c r="E37" s="4" t="n">
        <v>45834.76746446259</v>
      </c>
      <c r="F37" s="4" t="n">
        <v>46564.76746446259</v>
      </c>
      <c r="G37" t="inlineStr">
        <is>
          <t>Valid</t>
        </is>
      </c>
    </row>
    <row r="38">
      <c r="A38" t="inlineStr">
        <is>
          <t>Inspector 2</t>
        </is>
      </c>
      <c r="B38" t="inlineStr">
        <is>
          <t>Artisan</t>
        </is>
      </c>
      <c r="C38" t="inlineStr">
        <is>
          <t>Rigging Level 2</t>
        </is>
      </c>
      <c r="D38" t="inlineStr">
        <is>
          <t>External</t>
        </is>
      </c>
      <c r="E38" s="4" t="n">
        <v>45378.76746446259</v>
      </c>
      <c r="F38" s="4" t="n">
        <v>46108.76746446259</v>
      </c>
      <c r="G38" t="inlineStr">
        <is>
          <t>Valid</t>
        </is>
      </c>
    </row>
    <row r="39">
      <c r="A39" t="inlineStr">
        <is>
          <t>Welder 2</t>
        </is>
      </c>
      <c r="B39" t="inlineStr">
        <is>
          <t>Inspector</t>
        </is>
      </c>
      <c r="C39" t="inlineStr">
        <is>
          <t>ISO 9001 Awareness</t>
        </is>
      </c>
      <c r="D39" t="inlineStr">
        <is>
          <t>OEM</t>
        </is>
      </c>
      <c r="E39" s="4" t="n">
        <v>45550.76746446259</v>
      </c>
      <c r="F39" s="4" t="n">
        <v>45915.76746446259</v>
      </c>
      <c r="G39" t="inlineStr">
        <is>
          <t>Expired</t>
        </is>
      </c>
    </row>
    <row r="40">
      <c r="A40" t="inlineStr">
        <is>
          <t>Supervisor 2</t>
        </is>
      </c>
      <c r="B40" t="inlineStr">
        <is>
          <t>Rigger</t>
        </is>
      </c>
      <c r="C40" t="inlineStr">
        <is>
          <t>Rigging Level 2</t>
        </is>
      </c>
      <c r="D40" t="inlineStr">
        <is>
          <t>Internal</t>
        </is>
      </c>
      <c r="E40" s="4" t="n">
        <v>45783.76746446259</v>
      </c>
      <c r="F40" s="4" t="n">
        <v>46513.76746446259</v>
      </c>
      <c r="G40" t="inlineStr">
        <is>
          <t>Valid</t>
        </is>
      </c>
    </row>
    <row r="41">
      <c r="A41" t="inlineStr">
        <is>
          <t>Inspector 1</t>
        </is>
      </c>
      <c r="B41" t="inlineStr">
        <is>
          <t>Welder</t>
        </is>
      </c>
      <c r="C41" t="inlineStr">
        <is>
          <t>NDT Level 2</t>
        </is>
      </c>
      <c r="D41" t="inlineStr">
        <is>
          <t>Internal</t>
        </is>
      </c>
      <c r="E41" s="4" t="n">
        <v>46021.76746446259</v>
      </c>
      <c r="F41" s="4" t="n">
        <v>46386.76746446259</v>
      </c>
      <c r="G41" t="inlineStr">
        <is>
          <t>Valid</t>
        </is>
      </c>
    </row>
    <row r="42">
      <c r="A42" t="inlineStr">
        <is>
          <t>Inspector 1</t>
        </is>
      </c>
      <c r="B42" t="inlineStr">
        <is>
          <t>Artisan</t>
        </is>
      </c>
      <c r="C42" t="inlineStr">
        <is>
          <t>NDT Level 2</t>
        </is>
      </c>
      <c r="D42" t="inlineStr">
        <is>
          <t>OEM</t>
        </is>
      </c>
      <c r="E42" s="4" t="n">
        <v>45529.76746446259</v>
      </c>
      <c r="F42" s="4" t="n">
        <v>45894.76746446259</v>
      </c>
      <c r="G42" t="inlineStr">
        <is>
          <t>Expired</t>
        </is>
      </c>
    </row>
    <row r="43">
      <c r="A43" t="inlineStr">
        <is>
          <t>Supervisor 2</t>
        </is>
      </c>
      <c r="B43" t="inlineStr">
        <is>
          <t>Inspector</t>
        </is>
      </c>
      <c r="C43" t="inlineStr">
        <is>
          <t>NDT Level 2</t>
        </is>
      </c>
      <c r="D43" t="inlineStr">
        <is>
          <t>External</t>
        </is>
      </c>
      <c r="E43" s="4" t="n">
        <v>45865.76746446259</v>
      </c>
      <c r="F43" s="4" t="n">
        <v>46230.76746446259</v>
      </c>
      <c r="G43" t="inlineStr">
        <is>
          <t>Valid</t>
        </is>
      </c>
    </row>
    <row r="44">
      <c r="A44" t="inlineStr">
        <is>
          <t>Inspector 1</t>
        </is>
      </c>
      <c r="B44" t="inlineStr">
        <is>
          <t>Inspector</t>
        </is>
      </c>
      <c r="C44" t="inlineStr">
        <is>
          <t>Furnace Rebuild</t>
        </is>
      </c>
      <c r="D44" t="inlineStr">
        <is>
          <t>OEM</t>
        </is>
      </c>
      <c r="E44" s="4" t="n">
        <v>45673.76746446259</v>
      </c>
      <c r="F44" s="4" t="n">
        <v>46038.76746446259</v>
      </c>
      <c r="G44" t="inlineStr">
        <is>
          <t>Expired</t>
        </is>
      </c>
    </row>
    <row r="45">
      <c r="A45" t="inlineStr">
        <is>
          <t>Artisan B</t>
        </is>
      </c>
      <c r="B45" t="inlineStr">
        <is>
          <t>Inspector</t>
        </is>
      </c>
      <c r="C45" t="inlineStr">
        <is>
          <t>Pump Overhaul</t>
        </is>
      </c>
      <c r="D45" t="inlineStr">
        <is>
          <t>Internal</t>
        </is>
      </c>
      <c r="E45" s="4" t="n">
        <v>45911.76746446259</v>
      </c>
      <c r="F45" s="4" t="n">
        <v>46641.76746446259</v>
      </c>
      <c r="G45" t="inlineStr">
        <is>
          <t>Valid</t>
        </is>
      </c>
    </row>
    <row r="46">
      <c r="A46" t="inlineStr">
        <is>
          <t>Supervisor 2</t>
        </is>
      </c>
      <c r="B46" t="inlineStr">
        <is>
          <t>Inspector</t>
        </is>
      </c>
      <c r="C46" t="inlineStr">
        <is>
          <t>Furnace Rebuild</t>
        </is>
      </c>
      <c r="D46" t="inlineStr">
        <is>
          <t>External</t>
        </is>
      </c>
      <c r="E46" s="4" t="n">
        <v>45345.76746446259</v>
      </c>
      <c r="F46" s="4" t="n">
        <v>46075.76746446259</v>
      </c>
      <c r="G46" t="inlineStr">
        <is>
          <t>Valid</t>
        </is>
      </c>
    </row>
    <row r="47">
      <c r="A47" t="inlineStr">
        <is>
          <t>Artisan B</t>
        </is>
      </c>
      <c r="B47" t="inlineStr">
        <is>
          <t>Artisan</t>
        </is>
      </c>
      <c r="C47" t="inlineStr">
        <is>
          <t>NDT Level 2</t>
        </is>
      </c>
      <c r="D47" t="inlineStr">
        <is>
          <t>Online</t>
        </is>
      </c>
      <c r="E47" s="4" t="n">
        <v>45556.76746446259</v>
      </c>
      <c r="F47" s="4" t="n">
        <v>46286.76746446259</v>
      </c>
      <c r="G47" t="inlineStr">
        <is>
          <t>Valid</t>
        </is>
      </c>
    </row>
    <row r="48">
      <c r="A48" t="inlineStr">
        <is>
          <t>Inspector 2</t>
        </is>
      </c>
      <c r="B48" t="inlineStr">
        <is>
          <t>Inspector</t>
        </is>
      </c>
      <c r="C48" t="inlineStr">
        <is>
          <t>Pump Overhaul</t>
        </is>
      </c>
      <c r="D48" t="inlineStr">
        <is>
          <t>Online</t>
        </is>
      </c>
      <c r="E48" s="4" t="n">
        <v>45347.76746446259</v>
      </c>
      <c r="F48" s="4" t="n">
        <v>45712.76746446259</v>
      </c>
      <c r="G48" t="inlineStr">
        <is>
          <t>Expired</t>
        </is>
      </c>
    </row>
    <row r="49">
      <c r="A49" t="inlineStr">
        <is>
          <t>Artisan C</t>
        </is>
      </c>
      <c r="B49" t="inlineStr">
        <is>
          <t>Welder</t>
        </is>
      </c>
      <c r="C49" t="inlineStr">
        <is>
          <t>Furnace Rebuild</t>
        </is>
      </c>
      <c r="D49" t="inlineStr">
        <is>
          <t>OEM</t>
        </is>
      </c>
      <c r="E49" s="4" t="n">
        <v>45387.76746446259</v>
      </c>
      <c r="F49" s="4" t="n">
        <v>45752.76746446259</v>
      </c>
      <c r="G49" t="inlineStr">
        <is>
          <t>Expired</t>
        </is>
      </c>
    </row>
    <row r="50">
      <c r="A50" t="inlineStr">
        <is>
          <t>Artisan B</t>
        </is>
      </c>
      <c r="B50" t="inlineStr">
        <is>
          <t>Inspector</t>
        </is>
      </c>
      <c r="C50" t="inlineStr">
        <is>
          <t>NDT Level 2</t>
        </is>
      </c>
      <c r="D50" t="inlineStr">
        <is>
          <t>Online</t>
        </is>
      </c>
      <c r="E50" s="4" t="n">
        <v>45741.76746446259</v>
      </c>
      <c r="F50" s="4" t="n">
        <v>46471.76746446259</v>
      </c>
      <c r="G50" t="inlineStr">
        <is>
          <t>Valid</t>
        </is>
      </c>
    </row>
    <row r="51">
      <c r="A51" t="inlineStr">
        <is>
          <t>Artisan C</t>
        </is>
      </c>
      <c r="B51" t="inlineStr">
        <is>
          <t>Artisan</t>
        </is>
      </c>
      <c r="C51" t="inlineStr">
        <is>
          <t>Boiler Tube Replacement</t>
        </is>
      </c>
      <c r="D51" t="inlineStr">
        <is>
          <t>Online</t>
        </is>
      </c>
      <c r="E51" s="4" t="n">
        <v>45364.76746446259</v>
      </c>
      <c r="F51" s="4" t="n">
        <v>45729.76746446259</v>
      </c>
      <c r="G51" t="inlineStr">
        <is>
          <t>Expired</t>
        </is>
      </c>
    </row>
    <row r="52">
      <c r="A52" t="inlineStr">
        <is>
          <t>Inspector 1</t>
        </is>
      </c>
      <c r="B52" t="inlineStr">
        <is>
          <t>Supervisor</t>
        </is>
      </c>
      <c r="C52" t="inlineStr">
        <is>
          <t>Rigging Level 2</t>
        </is>
      </c>
      <c r="D52" t="inlineStr">
        <is>
          <t>Online</t>
        </is>
      </c>
      <c r="E52" s="4" t="n">
        <v>45821.76746446259</v>
      </c>
      <c r="F52" s="4" t="n">
        <v>46186.76746446259</v>
      </c>
      <c r="G52" t="inlineStr">
        <is>
          <t>Valid</t>
        </is>
      </c>
    </row>
    <row r="53">
      <c r="A53" t="inlineStr">
        <is>
          <t>Inspector 2</t>
        </is>
      </c>
      <c r="B53" t="inlineStr">
        <is>
          <t>Rigger</t>
        </is>
      </c>
      <c r="C53" t="inlineStr">
        <is>
          <t>Pump Overhaul</t>
        </is>
      </c>
      <c r="D53" t="inlineStr">
        <is>
          <t>External</t>
        </is>
      </c>
      <c r="E53" s="4" t="n">
        <v>45536.76746446259</v>
      </c>
      <c r="F53" s="4" t="n">
        <v>46266.76746446259</v>
      </c>
      <c r="G53" t="inlineStr">
        <is>
          <t>Valid</t>
        </is>
      </c>
    </row>
    <row r="54">
      <c r="A54" t="inlineStr">
        <is>
          <t>Supervisor 2</t>
        </is>
      </c>
      <c r="B54" t="inlineStr">
        <is>
          <t>Welder</t>
        </is>
      </c>
      <c r="C54" t="inlineStr">
        <is>
          <t>Pump Overhaul</t>
        </is>
      </c>
      <c r="D54" t="inlineStr">
        <is>
          <t>OEM</t>
        </is>
      </c>
      <c r="E54" s="4" t="n">
        <v>45711.76746446259</v>
      </c>
      <c r="F54" s="4" t="n">
        <v>46441.76746446259</v>
      </c>
      <c r="G54" t="inlineStr">
        <is>
          <t>Valid</t>
        </is>
      </c>
    </row>
    <row r="55">
      <c r="A55" t="inlineStr">
        <is>
          <t>Welder 2</t>
        </is>
      </c>
      <c r="B55" t="inlineStr">
        <is>
          <t>Welder</t>
        </is>
      </c>
      <c r="C55" t="inlineStr">
        <is>
          <t>Furnace Rebuild</t>
        </is>
      </c>
      <c r="D55" t="inlineStr">
        <is>
          <t>Internal</t>
        </is>
      </c>
      <c r="E55" s="4" t="n">
        <v>45753.76746446259</v>
      </c>
      <c r="F55" s="4" t="n">
        <v>46483.76746446259</v>
      </c>
      <c r="G55" t="inlineStr">
        <is>
          <t>Valid</t>
        </is>
      </c>
    </row>
    <row r="56">
      <c r="A56" t="inlineStr">
        <is>
          <t>Artisan B</t>
        </is>
      </c>
      <c r="B56" t="inlineStr">
        <is>
          <t>Inspector</t>
        </is>
      </c>
      <c r="C56" t="inlineStr">
        <is>
          <t>Boiler Tube Replacement</t>
        </is>
      </c>
      <c r="D56" t="inlineStr">
        <is>
          <t>OEM</t>
        </is>
      </c>
      <c r="E56" s="4" t="n">
        <v>45871.76746446259</v>
      </c>
      <c r="F56" s="4" t="n">
        <v>46601.76746446259</v>
      </c>
      <c r="G56" t="inlineStr">
        <is>
          <t>Valid</t>
        </is>
      </c>
    </row>
    <row r="57">
      <c r="A57" t="inlineStr">
        <is>
          <t>Supervisor 1</t>
        </is>
      </c>
      <c r="B57" t="inlineStr">
        <is>
          <t>Inspector</t>
        </is>
      </c>
      <c r="C57" t="inlineStr">
        <is>
          <t>Boiler Tube Replacement</t>
        </is>
      </c>
      <c r="D57" t="inlineStr">
        <is>
          <t>Internal</t>
        </is>
      </c>
      <c r="E57" s="4" t="n">
        <v>45991.76746446259</v>
      </c>
      <c r="F57" s="4" t="n">
        <v>46721.76746446259</v>
      </c>
      <c r="G57" t="inlineStr">
        <is>
          <t>Valid</t>
        </is>
      </c>
    </row>
    <row r="58">
      <c r="A58" t="inlineStr">
        <is>
          <t>Artisan C</t>
        </is>
      </c>
      <c r="B58" t="inlineStr">
        <is>
          <t>Supervisor</t>
        </is>
      </c>
      <c r="C58" t="inlineStr">
        <is>
          <t>NDT Level 2</t>
        </is>
      </c>
      <c r="D58" t="inlineStr">
        <is>
          <t>OEM</t>
        </is>
      </c>
      <c r="E58" s="4" t="n">
        <v>45710.76746446259</v>
      </c>
      <c r="F58" s="4" t="n">
        <v>46075.76746446259</v>
      </c>
      <c r="G58" t="inlineStr">
        <is>
          <t>Valid</t>
        </is>
      </c>
    </row>
    <row r="59">
      <c r="A59" t="inlineStr">
        <is>
          <t>Artisan B</t>
        </is>
      </c>
      <c r="B59" t="inlineStr">
        <is>
          <t>Supervisor</t>
        </is>
      </c>
      <c r="C59" t="inlineStr">
        <is>
          <t>Rigging Level 2</t>
        </is>
      </c>
      <c r="D59" t="inlineStr">
        <is>
          <t>External</t>
        </is>
      </c>
      <c r="E59" s="4" t="n">
        <v>45453.76746446259</v>
      </c>
      <c r="F59" s="4" t="n">
        <v>46183.76746446259</v>
      </c>
      <c r="G59" t="inlineStr">
        <is>
          <t>Valid</t>
        </is>
      </c>
    </row>
    <row r="60">
      <c r="A60" t="inlineStr">
        <is>
          <t>Supervisor 1</t>
        </is>
      </c>
      <c r="B60" t="inlineStr">
        <is>
          <t>Inspector</t>
        </is>
      </c>
      <c r="C60" t="inlineStr">
        <is>
          <t>Boiler Tube Replacement</t>
        </is>
      </c>
      <c r="D60" t="inlineStr">
        <is>
          <t>Internal</t>
        </is>
      </c>
      <c r="E60" s="4" t="n">
        <v>45700.76746446259</v>
      </c>
      <c r="F60" s="4" t="n">
        <v>46065.76746446259</v>
      </c>
      <c r="G60" t="inlineStr">
        <is>
          <t>Expired</t>
        </is>
      </c>
    </row>
    <row r="61">
      <c r="A61" t="inlineStr">
        <is>
          <t>Artisan C</t>
        </is>
      </c>
      <c r="B61" t="inlineStr">
        <is>
          <t>Supervisor</t>
        </is>
      </c>
      <c r="C61" t="inlineStr">
        <is>
          <t>ISO 9001 Awareness</t>
        </is>
      </c>
      <c r="D61" t="inlineStr">
        <is>
          <t>External</t>
        </is>
      </c>
      <c r="E61" s="4" t="n">
        <v>45874.76746446259</v>
      </c>
      <c r="F61" s="4" t="n">
        <v>46239.76746446259</v>
      </c>
      <c r="G61" t="inlineStr">
        <is>
          <t>Valid</t>
        </is>
      </c>
    </row>
  </sheetData>
  <conditionalFormatting sqref="G2:G500">
    <cfRule type="cellIs" priority="1" operator="equal" dxfId="0">
      <formula>"Expired"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7" customWidth="1" min="5" max="5"/>
    <col width="15" customWidth="1" min="6" max="6"/>
    <col width="15" customWidth="1" min="7" max="7"/>
    <col width="15" customWidth="1" min="8" max="8"/>
  </cols>
  <sheetData>
    <row r="1">
      <c r="A1" s="3" t="inlineStr">
        <is>
          <t>Supplier</t>
        </is>
      </c>
      <c r="B1" s="3" t="inlineStr">
        <is>
          <t>Scope</t>
        </is>
      </c>
      <c r="C1" s="3" t="inlineStr">
        <is>
          <t>Score</t>
        </is>
      </c>
      <c r="D1" s="3" t="inlineStr">
        <is>
          <t>Band</t>
        </is>
      </c>
      <c r="E1" s="3" t="inlineStr">
        <is>
          <t>Approval Status</t>
        </is>
      </c>
      <c r="F1" s="3" t="inlineStr">
        <is>
          <t>Last Review</t>
        </is>
      </c>
      <c r="G1" s="3" t="inlineStr">
        <is>
          <t>Next Review</t>
        </is>
      </c>
      <c r="H1" s="3" t="inlineStr">
        <is>
          <t>Status</t>
        </is>
      </c>
    </row>
    <row r="2">
      <c r="A2" t="inlineStr">
        <is>
          <t>FurnaceWorks</t>
        </is>
      </c>
      <c r="B2" t="inlineStr">
        <is>
          <t>Furnace refractories</t>
        </is>
      </c>
      <c r="C2" t="n">
        <v>61</v>
      </c>
      <c r="D2">
        <f>IF(C2&gt;=85,"A",IF(C2&gt;=70,"B",IF(C2&gt;=50,"C","D")))</f>
        <v/>
      </c>
      <c r="E2" t="inlineStr">
        <is>
          <t>Blocked</t>
        </is>
      </c>
      <c r="F2" s="4" t="n">
        <v>46030.76746446259</v>
      </c>
      <c r="G2" s="4" t="n">
        <v>46395.76746446259</v>
      </c>
      <c r="H2" t="inlineStr">
        <is>
          <t>Inactive</t>
        </is>
      </c>
    </row>
    <row r="3">
      <c r="A3" t="inlineStr">
        <is>
          <t>TubeTech</t>
        </is>
      </c>
      <c r="B3" t="inlineStr">
        <is>
          <t>Boiler tubes</t>
        </is>
      </c>
      <c r="C3" t="n">
        <v>84</v>
      </c>
      <c r="D3">
        <f>IF(C3&gt;=85,"A",IF(C3&gt;=70,"B",IF(C3&gt;=50,"C","D")))</f>
        <v/>
      </c>
      <c r="E3" t="inlineStr">
        <is>
          <t>Conditional</t>
        </is>
      </c>
      <c r="F3" s="4" t="n">
        <v>45905.76746446259</v>
      </c>
      <c r="G3" s="4" t="n">
        <v>46270.76746446259</v>
      </c>
      <c r="H3" t="inlineStr">
        <is>
          <t>Active</t>
        </is>
      </c>
    </row>
    <row r="4">
      <c r="A4" t="inlineStr">
        <is>
          <t>SteelCorp</t>
        </is>
      </c>
      <c r="B4" t="inlineStr">
        <is>
          <t>Steel &amp; plate</t>
        </is>
      </c>
      <c r="C4" t="n">
        <v>98</v>
      </c>
      <c r="D4">
        <f>IF(C4&gt;=85,"A",IF(C4&gt;=70,"B",IF(C4&gt;=50,"C","D")))</f>
        <v/>
      </c>
      <c r="E4" t="inlineStr">
        <is>
          <t>Approved</t>
        </is>
      </c>
      <c r="F4" s="4" t="n">
        <v>46030.76746446259</v>
      </c>
      <c r="G4" s="4" t="n">
        <v>46395.76746446259</v>
      </c>
      <c r="H4" t="inlineStr">
        <is>
          <t>Active</t>
        </is>
      </c>
    </row>
    <row r="5">
      <c r="A5" t="inlineStr">
        <is>
          <t>PumpCo</t>
        </is>
      </c>
      <c r="B5" t="inlineStr">
        <is>
          <t>Pump spares &amp; overhauls</t>
        </is>
      </c>
      <c r="C5" t="n">
        <v>70</v>
      </c>
      <c r="D5">
        <f>IF(C5&gt;=85,"A",IF(C5&gt;=70,"B",IF(C5&gt;=50,"C","D")))</f>
        <v/>
      </c>
      <c r="E5" t="inlineStr">
        <is>
          <t>Approved</t>
        </is>
      </c>
      <c r="F5" s="4" t="n">
        <v>45726.76746446259</v>
      </c>
      <c r="G5" s="4" t="n">
        <v>46091.76746446259</v>
      </c>
      <c r="H5" t="inlineStr">
        <is>
          <t>Active</t>
        </is>
      </c>
    </row>
    <row r="6">
      <c r="A6" t="inlineStr">
        <is>
          <t>SealPro</t>
        </is>
      </c>
      <c r="B6" t="inlineStr">
        <is>
          <t>Mechanical seals</t>
        </is>
      </c>
      <c r="C6" t="n">
        <v>63</v>
      </c>
      <c r="D6">
        <f>IF(C6&gt;=85,"A",IF(C6&gt;=70,"B",IF(C6&gt;=50,"C","D")))</f>
        <v/>
      </c>
      <c r="E6" t="inlineStr">
        <is>
          <t>Blocked</t>
        </is>
      </c>
      <c r="F6" s="4" t="n">
        <v>45832.76746446259</v>
      </c>
      <c r="G6" s="4" t="n">
        <v>46197.76746446259</v>
      </c>
      <c r="H6" t="inlineStr">
        <is>
          <t>Inactive</t>
        </is>
      </c>
    </row>
    <row r="7">
      <c r="A7" t="inlineStr">
        <is>
          <t>TubeTech</t>
        </is>
      </c>
      <c r="B7" t="inlineStr">
        <is>
          <t>Boiler tubes</t>
        </is>
      </c>
      <c r="C7" t="n">
        <v>45</v>
      </c>
      <c r="D7">
        <f>IF(C7&gt;=85,"A",IF(C7&gt;=70,"B",IF(C7&gt;=50,"C","D")))</f>
        <v/>
      </c>
      <c r="E7" t="inlineStr">
        <is>
          <t>Blocked</t>
        </is>
      </c>
      <c r="F7" s="4" t="n">
        <v>45930.76746446259</v>
      </c>
      <c r="G7" s="4" t="n">
        <v>46295.76746446259</v>
      </c>
      <c r="H7" t="inlineStr">
        <is>
          <t>Inactive</t>
        </is>
      </c>
    </row>
    <row r="8">
      <c r="A8" t="inlineStr">
        <is>
          <t>SealPro</t>
        </is>
      </c>
      <c r="B8" t="inlineStr">
        <is>
          <t>Mechanical seals</t>
        </is>
      </c>
      <c r="C8" t="n">
        <v>92</v>
      </c>
      <c r="D8">
        <f>IF(C8&gt;=85,"A",IF(C8&gt;=70,"B",IF(C8&gt;=50,"C","D")))</f>
        <v/>
      </c>
      <c r="E8" t="inlineStr">
        <is>
          <t>Conditional</t>
        </is>
      </c>
      <c r="F8" s="4" t="n">
        <v>45888.76746446259</v>
      </c>
      <c r="G8" s="4" t="n">
        <v>46253.76746446259</v>
      </c>
      <c r="H8" t="inlineStr">
        <is>
          <t>Active</t>
        </is>
      </c>
    </row>
    <row r="9">
      <c r="A9" t="inlineStr">
        <is>
          <t>TransRail</t>
        </is>
      </c>
      <c r="B9" t="inlineStr">
        <is>
          <t>Rolling stock components</t>
        </is>
      </c>
      <c r="C9" t="n">
        <v>83</v>
      </c>
      <c r="D9">
        <f>IF(C9&gt;=85,"A",IF(C9&gt;=70,"B",IF(C9&gt;=50,"C","D")))</f>
        <v/>
      </c>
      <c r="E9" t="inlineStr">
        <is>
          <t>Blocked</t>
        </is>
      </c>
      <c r="F9" s="4" t="n">
        <v>46000.76746446259</v>
      </c>
      <c r="G9" s="4" t="n">
        <v>46365.76746446259</v>
      </c>
      <c r="H9" t="inlineStr">
        <is>
          <t>Inactive</t>
        </is>
      </c>
    </row>
    <row r="10">
      <c r="A10" t="inlineStr">
        <is>
          <t>FurnaceWorks</t>
        </is>
      </c>
      <c r="B10" t="inlineStr">
        <is>
          <t>Furnace refractories</t>
        </is>
      </c>
      <c r="C10" t="n">
        <v>67</v>
      </c>
      <c r="D10">
        <f>IF(C10&gt;=85,"A",IF(C10&gt;=70,"B",IF(C10&gt;=50,"C","D")))</f>
        <v/>
      </c>
      <c r="E10" t="inlineStr">
        <is>
          <t>Blocked</t>
        </is>
      </c>
      <c r="F10" s="4" t="n">
        <v>45726.76746446259</v>
      </c>
      <c r="G10" s="4" t="n">
        <v>46091.76746446259</v>
      </c>
      <c r="H10" t="inlineStr">
        <is>
          <t>Inactive</t>
        </is>
      </c>
    </row>
    <row r="11">
      <c r="A11" t="inlineStr">
        <is>
          <t>BearingHouse</t>
        </is>
      </c>
      <c r="B11" t="inlineStr">
        <is>
          <t>Bearings</t>
        </is>
      </c>
      <c r="C11" t="n">
        <v>49</v>
      </c>
      <c r="D11">
        <f>IF(C11&gt;=85,"A",IF(C11&gt;=70,"B",IF(C11&gt;=50,"C","D")))</f>
        <v/>
      </c>
      <c r="E11" t="inlineStr">
        <is>
          <t>Conditional</t>
        </is>
      </c>
      <c r="F11" s="4" t="n">
        <v>45765.76746446259</v>
      </c>
      <c r="G11" s="4" t="n">
        <v>46130.76746446259</v>
      </c>
      <c r="H11" t="inlineStr">
        <is>
          <t>Active</t>
        </is>
      </c>
    </row>
    <row r="12">
      <c r="A12" t="inlineStr">
        <is>
          <t>TubeTech</t>
        </is>
      </c>
      <c r="B12" t="inlineStr">
        <is>
          <t>Boiler tubes</t>
        </is>
      </c>
      <c r="C12" t="n">
        <v>77</v>
      </c>
      <c r="D12">
        <f>IF(C12&gt;=85,"A",IF(C12&gt;=70,"B",IF(C12&gt;=50,"C","D")))</f>
        <v/>
      </c>
      <c r="E12" t="inlineStr">
        <is>
          <t>Blocked</t>
        </is>
      </c>
      <c r="F12" s="4" t="n">
        <v>45784.76746446259</v>
      </c>
      <c r="G12" s="4" t="n">
        <v>46149.76746446259</v>
      </c>
      <c r="H12" t="inlineStr">
        <is>
          <t>Inactive</t>
        </is>
      </c>
    </row>
    <row r="13">
      <c r="A13" t="inlineStr">
        <is>
          <t>BearingHouse</t>
        </is>
      </c>
      <c r="B13" t="inlineStr">
        <is>
          <t>Bearings</t>
        </is>
      </c>
      <c r="C13" t="n">
        <v>82</v>
      </c>
      <c r="D13">
        <f>IF(C13&gt;=85,"A",IF(C13&gt;=70,"B",IF(C13&gt;=50,"C","D")))</f>
        <v/>
      </c>
      <c r="E13" t="inlineStr">
        <is>
          <t>Blocked</t>
        </is>
      </c>
      <c r="F13" s="4" t="n">
        <v>45920.76746446259</v>
      </c>
      <c r="G13" s="4" t="n">
        <v>46285.76746446259</v>
      </c>
      <c r="H13" t="inlineStr">
        <is>
          <t>Inactive</t>
        </is>
      </c>
    </row>
    <row r="14">
      <c r="A14" t="inlineStr">
        <is>
          <t>TubeTech</t>
        </is>
      </c>
      <c r="B14" t="inlineStr">
        <is>
          <t>Boiler tubes</t>
        </is>
      </c>
      <c r="C14" t="n">
        <v>80</v>
      </c>
      <c r="D14">
        <f>IF(C14&gt;=85,"A",IF(C14&gt;=70,"B",IF(C14&gt;=50,"C","D")))</f>
        <v/>
      </c>
      <c r="E14" t="inlineStr">
        <is>
          <t>Conditional</t>
        </is>
      </c>
      <c r="F14" s="4" t="n">
        <v>45766.76746446259</v>
      </c>
      <c r="G14" s="4" t="n">
        <v>46131.76746446259</v>
      </c>
      <c r="H14" t="inlineStr">
        <is>
          <t>Active</t>
        </is>
      </c>
    </row>
    <row r="15">
      <c r="A15" t="inlineStr">
        <is>
          <t>FurnaceWorks</t>
        </is>
      </c>
      <c r="B15" t="inlineStr">
        <is>
          <t>Furnace refractories</t>
        </is>
      </c>
      <c r="C15" t="n">
        <v>60</v>
      </c>
      <c r="D15">
        <f>IF(C15&gt;=85,"A",IF(C15&gt;=70,"B",IF(C15&gt;=50,"C","D")))</f>
        <v/>
      </c>
      <c r="E15" t="inlineStr">
        <is>
          <t>Blocked</t>
        </is>
      </c>
      <c r="F15" s="4" t="n">
        <v>45962.76746446259</v>
      </c>
      <c r="G15" s="4" t="n">
        <v>46327.76746446259</v>
      </c>
      <c r="H15" t="inlineStr">
        <is>
          <t>Inactive</t>
        </is>
      </c>
    </row>
    <row r="16">
      <c r="A16" t="inlineStr">
        <is>
          <t>SealPro</t>
        </is>
      </c>
      <c r="B16" t="inlineStr">
        <is>
          <t>Mechanical seals</t>
        </is>
      </c>
      <c r="C16" t="n">
        <v>45</v>
      </c>
      <c r="D16">
        <f>IF(C16&gt;=85,"A",IF(C16&gt;=70,"B",IF(C16&gt;=50,"C","D")))</f>
        <v/>
      </c>
      <c r="E16" t="inlineStr">
        <is>
          <t>Blocked</t>
        </is>
      </c>
      <c r="F16" s="4" t="n">
        <v>45939.76746446259</v>
      </c>
      <c r="G16" s="4" t="n">
        <v>46304.76746446259</v>
      </c>
      <c r="H16" t="inlineStr">
        <is>
          <t>Inactive</t>
        </is>
      </c>
    </row>
    <row r="17">
      <c r="A17" t="inlineStr">
        <is>
          <t>FurnaceWorks</t>
        </is>
      </c>
      <c r="B17" t="inlineStr">
        <is>
          <t>Furnace refractories</t>
        </is>
      </c>
      <c r="C17" t="n">
        <v>78</v>
      </c>
      <c r="D17">
        <f>IF(C17&gt;=85,"A",IF(C17&gt;=70,"B",IF(C17&gt;=50,"C","D")))</f>
        <v/>
      </c>
      <c r="E17" t="inlineStr">
        <is>
          <t>Conditional</t>
        </is>
      </c>
      <c r="F17" s="4" t="n">
        <v>46039.76746446259</v>
      </c>
      <c r="G17" s="4" t="n">
        <v>46404.76746446259</v>
      </c>
      <c r="H17" t="inlineStr">
        <is>
          <t>Active</t>
        </is>
      </c>
    </row>
    <row r="18">
      <c r="A18" t="inlineStr">
        <is>
          <t>BearingHouse</t>
        </is>
      </c>
      <c r="B18" t="inlineStr">
        <is>
          <t>Bearings</t>
        </is>
      </c>
      <c r="C18" t="n">
        <v>50</v>
      </c>
      <c r="D18">
        <f>IF(C18&gt;=85,"A",IF(C18&gt;=70,"B",IF(C18&gt;=50,"C","D")))</f>
        <v/>
      </c>
      <c r="E18" t="inlineStr">
        <is>
          <t>Blocked</t>
        </is>
      </c>
      <c r="F18" s="4" t="n">
        <v>45893.76746446259</v>
      </c>
      <c r="G18" s="4" t="n">
        <v>46258.76746446259</v>
      </c>
      <c r="H18" t="inlineStr">
        <is>
          <t>Inactive</t>
        </is>
      </c>
    </row>
    <row r="19">
      <c r="A19" t="inlineStr">
        <is>
          <t>MineEquip</t>
        </is>
      </c>
      <c r="B19" t="inlineStr">
        <is>
          <t>Mining equipment</t>
        </is>
      </c>
      <c r="C19" t="n">
        <v>100</v>
      </c>
      <c r="D19">
        <f>IF(C19&gt;=85,"A",IF(C19&gt;=70,"B",IF(C19&gt;=50,"C","D")))</f>
        <v/>
      </c>
      <c r="E19" t="inlineStr">
        <is>
          <t>Conditional</t>
        </is>
      </c>
      <c r="F19" s="4" t="n">
        <v>45818.76746446259</v>
      </c>
      <c r="G19" s="4" t="n">
        <v>46183.76746446259</v>
      </c>
      <c r="H19" t="inlineStr">
        <is>
          <t>Active</t>
        </is>
      </c>
    </row>
    <row r="20">
      <c r="A20" t="inlineStr">
        <is>
          <t>PumpCo</t>
        </is>
      </c>
      <c r="B20" t="inlineStr">
        <is>
          <t>Pump spares &amp; overhauls</t>
        </is>
      </c>
      <c r="C20" t="n">
        <v>55</v>
      </c>
      <c r="D20">
        <f>IF(C20&gt;=85,"A",IF(C20&gt;=70,"B",IF(C20&gt;=50,"C","D")))</f>
        <v/>
      </c>
      <c r="E20" t="inlineStr">
        <is>
          <t>Conditional</t>
        </is>
      </c>
      <c r="F20" s="4" t="n">
        <v>45942.76746446259</v>
      </c>
      <c r="G20" s="4" t="n">
        <v>46307.76746446259</v>
      </c>
      <c r="H20" t="inlineStr">
        <is>
          <t>Active</t>
        </is>
      </c>
    </row>
    <row r="21">
      <c r="A21" t="inlineStr">
        <is>
          <t>TubeTech</t>
        </is>
      </c>
      <c r="B21" t="inlineStr">
        <is>
          <t>Boiler tubes</t>
        </is>
      </c>
      <c r="C21" t="n">
        <v>92</v>
      </c>
      <c r="D21">
        <f>IF(C21&gt;=85,"A",IF(C21&gt;=70,"B",IF(C21&gt;=50,"C","D")))</f>
        <v/>
      </c>
      <c r="E21" t="inlineStr">
        <is>
          <t>Conditional</t>
        </is>
      </c>
      <c r="F21" s="4" t="n">
        <v>45897.76746446259</v>
      </c>
      <c r="G21" s="4" t="n">
        <v>46262.76746446259</v>
      </c>
      <c r="H21" t="inlineStr">
        <is>
          <t>Active</t>
        </is>
      </c>
    </row>
    <row r="22">
      <c r="A22" t="inlineStr">
        <is>
          <t>BearingHouse</t>
        </is>
      </c>
      <c r="B22" t="inlineStr">
        <is>
          <t>Bearings</t>
        </is>
      </c>
      <c r="C22" t="n">
        <v>75</v>
      </c>
      <c r="D22">
        <f>IF(C22&gt;=85,"A",IF(C22&gt;=70,"B",IF(C22&gt;=50,"C","D")))</f>
        <v/>
      </c>
      <c r="E22" t="inlineStr">
        <is>
          <t>Conditional</t>
        </is>
      </c>
      <c r="F22" s="4" t="n">
        <v>45881.76746446259</v>
      </c>
      <c r="G22" s="4" t="n">
        <v>46246.76746446259</v>
      </c>
      <c r="H22" t="inlineStr">
        <is>
          <t>Active</t>
        </is>
      </c>
    </row>
    <row r="23">
      <c r="A23" t="inlineStr">
        <is>
          <t>TubeTech</t>
        </is>
      </c>
      <c r="B23" t="inlineStr">
        <is>
          <t>Boiler tubes</t>
        </is>
      </c>
      <c r="C23" t="n">
        <v>89</v>
      </c>
      <c r="D23">
        <f>IF(C23&gt;=85,"A",IF(C23&gt;=70,"B",IF(C23&gt;=50,"C","D")))</f>
        <v/>
      </c>
      <c r="E23" t="inlineStr">
        <is>
          <t>Blocked</t>
        </is>
      </c>
      <c r="F23" s="4" t="n">
        <v>45981.76746446259</v>
      </c>
      <c r="G23" s="4" t="n">
        <v>46346.76746446259</v>
      </c>
      <c r="H23" t="inlineStr">
        <is>
          <t>Inactive</t>
        </is>
      </c>
    </row>
    <row r="24">
      <c r="A24" t="inlineStr">
        <is>
          <t>SteelCorp</t>
        </is>
      </c>
      <c r="B24" t="inlineStr">
        <is>
          <t>Steel &amp; plate</t>
        </is>
      </c>
      <c r="C24" t="n">
        <v>62</v>
      </c>
      <c r="D24">
        <f>IF(C24&gt;=85,"A",IF(C24&gt;=70,"B",IF(C24&gt;=50,"C","D")))</f>
        <v/>
      </c>
      <c r="E24" t="inlineStr">
        <is>
          <t>Approved</t>
        </is>
      </c>
      <c r="F24" s="4" t="n">
        <v>46040.76746446259</v>
      </c>
      <c r="G24" s="4" t="n">
        <v>46405.76746446259</v>
      </c>
      <c r="H24" t="inlineStr">
        <is>
          <t>Active</t>
        </is>
      </c>
    </row>
    <row r="25">
      <c r="A25" t="inlineStr">
        <is>
          <t>SealPro</t>
        </is>
      </c>
      <c r="B25" t="inlineStr">
        <is>
          <t>Mechanical seals</t>
        </is>
      </c>
      <c r="C25" t="n">
        <v>85</v>
      </c>
      <c r="D25">
        <f>IF(C25&gt;=85,"A",IF(C25&gt;=70,"B",IF(C25&gt;=50,"C","D")))</f>
        <v/>
      </c>
      <c r="E25" t="inlineStr">
        <is>
          <t>Approved</t>
        </is>
      </c>
      <c r="F25" s="4" t="n">
        <v>45924.76746446259</v>
      </c>
      <c r="G25" s="4" t="n">
        <v>46289.76746446259</v>
      </c>
      <c r="H25" t="inlineStr">
        <is>
          <t>Active</t>
        </is>
      </c>
    </row>
    <row r="26">
      <c r="A26" t="inlineStr">
        <is>
          <t>TransRail</t>
        </is>
      </c>
      <c r="B26" t="inlineStr">
        <is>
          <t>Rolling stock components</t>
        </is>
      </c>
      <c r="C26" t="n">
        <v>75</v>
      </c>
      <c r="D26">
        <f>IF(C26&gt;=85,"A",IF(C26&gt;=70,"B",IF(C26&gt;=50,"C","D")))</f>
        <v/>
      </c>
      <c r="E26" t="inlineStr">
        <is>
          <t>Conditional</t>
        </is>
      </c>
      <c r="F26" s="4" t="n">
        <v>45848.76746446259</v>
      </c>
      <c r="G26" s="4" t="n">
        <v>46213.76746446259</v>
      </c>
      <c r="H26" t="inlineStr">
        <is>
          <t>Active</t>
        </is>
      </c>
    </row>
    <row r="27">
      <c r="A27" t="inlineStr">
        <is>
          <t>FurnaceWorks</t>
        </is>
      </c>
      <c r="B27" t="inlineStr">
        <is>
          <t>Furnace refractories</t>
        </is>
      </c>
      <c r="C27" t="n">
        <v>48</v>
      </c>
      <c r="D27">
        <f>IF(C27&gt;=85,"A",IF(C27&gt;=70,"B",IF(C27&gt;=50,"C","D")))</f>
        <v/>
      </c>
      <c r="E27" t="inlineStr">
        <is>
          <t>Conditional</t>
        </is>
      </c>
      <c r="F27" s="4" t="n">
        <v>45848.76746446259</v>
      </c>
      <c r="G27" s="4" t="n">
        <v>46213.76746446259</v>
      </c>
      <c r="H27" t="inlineStr">
        <is>
          <t>Active</t>
        </is>
      </c>
    </row>
    <row r="28">
      <c r="A28" t="inlineStr">
        <is>
          <t>SteelCorp</t>
        </is>
      </c>
      <c r="B28" t="inlineStr">
        <is>
          <t>Steel &amp; plate</t>
        </is>
      </c>
      <c r="C28" t="n">
        <v>96</v>
      </c>
      <c r="D28">
        <f>IF(C28&gt;=85,"A",IF(C28&gt;=70,"B",IF(C28&gt;=50,"C","D")))</f>
        <v/>
      </c>
      <c r="E28" t="inlineStr">
        <is>
          <t>Approved</t>
        </is>
      </c>
      <c r="F28" s="4" t="n">
        <v>45990.76746446259</v>
      </c>
      <c r="G28" s="4" t="n">
        <v>46355.76746446259</v>
      </c>
      <c r="H28" t="inlineStr">
        <is>
          <t>Active</t>
        </is>
      </c>
    </row>
    <row r="29">
      <c r="A29" t="inlineStr">
        <is>
          <t>PumpCo</t>
        </is>
      </c>
      <c r="B29" t="inlineStr">
        <is>
          <t>Pump spares &amp; overhauls</t>
        </is>
      </c>
      <c r="C29" t="n">
        <v>50</v>
      </c>
      <c r="D29">
        <f>IF(C29&gt;=85,"A",IF(C29&gt;=70,"B",IF(C29&gt;=50,"C","D")))</f>
        <v/>
      </c>
      <c r="E29" t="inlineStr">
        <is>
          <t>Approved</t>
        </is>
      </c>
      <c r="F29" s="4" t="n">
        <v>45997.76746446259</v>
      </c>
      <c r="G29" s="4" t="n">
        <v>46362.76746446259</v>
      </c>
      <c r="H29" t="inlineStr">
        <is>
          <t>Active</t>
        </is>
      </c>
    </row>
    <row r="30">
      <c r="A30" t="inlineStr">
        <is>
          <t>PumpCo</t>
        </is>
      </c>
      <c r="B30" t="inlineStr">
        <is>
          <t>Pump spares &amp; overhauls</t>
        </is>
      </c>
      <c r="C30" t="n">
        <v>72</v>
      </c>
      <c r="D30">
        <f>IF(C30&gt;=85,"A",IF(C30&gt;=70,"B",IF(C30&gt;=50,"C","D")))</f>
        <v/>
      </c>
      <c r="E30" t="inlineStr">
        <is>
          <t>Conditional</t>
        </is>
      </c>
      <c r="F30" s="4" t="n">
        <v>46005.76746446259</v>
      </c>
      <c r="G30" s="4" t="n">
        <v>46370.76746446259</v>
      </c>
      <c r="H30" t="inlineStr">
        <is>
          <t>Active</t>
        </is>
      </c>
    </row>
    <row r="31">
      <c r="A31" t="inlineStr">
        <is>
          <t>MineEquip</t>
        </is>
      </c>
      <c r="B31" t="inlineStr">
        <is>
          <t>Mining equipment</t>
        </is>
      </c>
      <c r="C31" t="n">
        <v>56</v>
      </c>
      <c r="D31">
        <f>IF(C31&gt;=85,"A",IF(C31&gt;=70,"B",IF(C31&gt;=50,"C","D")))</f>
        <v/>
      </c>
      <c r="E31" t="inlineStr">
        <is>
          <t>Blocked</t>
        </is>
      </c>
      <c r="F31" s="4" t="n">
        <v>45766.76746446259</v>
      </c>
      <c r="G31" s="4" t="n">
        <v>46131.76746446259</v>
      </c>
      <c r="H31" t="inlineStr">
        <is>
          <t>Inactive</t>
        </is>
      </c>
    </row>
    <row r="32">
      <c r="A32" t="inlineStr">
        <is>
          <t>TransRail</t>
        </is>
      </c>
      <c r="B32" t="inlineStr">
        <is>
          <t>Rolling stock components</t>
        </is>
      </c>
      <c r="C32" t="n">
        <v>44</v>
      </c>
      <c r="D32">
        <f>IF(C32&gt;=85,"A",IF(C32&gt;=70,"B",IF(C32&gt;=50,"C","D")))</f>
        <v/>
      </c>
      <c r="E32" t="inlineStr">
        <is>
          <t>Blocked</t>
        </is>
      </c>
      <c r="F32" s="4" t="n">
        <v>45805.76746446259</v>
      </c>
      <c r="G32" s="4" t="n">
        <v>46170.76746446259</v>
      </c>
      <c r="H32" t="inlineStr">
        <is>
          <t>Inactive</t>
        </is>
      </c>
    </row>
    <row r="33">
      <c r="A33" t="inlineStr">
        <is>
          <t>TransRail</t>
        </is>
      </c>
      <c r="B33" t="inlineStr">
        <is>
          <t>Rolling stock components</t>
        </is>
      </c>
      <c r="C33" t="n">
        <v>68</v>
      </c>
      <c r="D33">
        <f>IF(C33&gt;=85,"A",IF(C33&gt;=70,"B",IF(C33&gt;=50,"C","D")))</f>
        <v/>
      </c>
      <c r="E33" t="inlineStr">
        <is>
          <t>Conditional</t>
        </is>
      </c>
      <c r="F33" s="4" t="n">
        <v>45782.76746446259</v>
      </c>
      <c r="G33" s="4" t="n">
        <v>46147.76746446259</v>
      </c>
      <c r="H33" t="inlineStr">
        <is>
          <t>Active</t>
        </is>
      </c>
    </row>
    <row r="34">
      <c r="A34" t="inlineStr">
        <is>
          <t>PumpCo</t>
        </is>
      </c>
      <c r="B34" t="inlineStr">
        <is>
          <t>Pump spares &amp; overhauls</t>
        </is>
      </c>
      <c r="C34" t="n">
        <v>44</v>
      </c>
      <c r="D34">
        <f>IF(C34&gt;=85,"A",IF(C34&gt;=70,"B",IF(C34&gt;=50,"C","D")))</f>
        <v/>
      </c>
      <c r="E34" t="inlineStr">
        <is>
          <t>Approved</t>
        </is>
      </c>
      <c r="F34" s="4" t="n">
        <v>45952.76746446259</v>
      </c>
      <c r="G34" s="4" t="n">
        <v>46317.76746446259</v>
      </c>
      <c r="H34" t="inlineStr">
        <is>
          <t>Active</t>
        </is>
      </c>
    </row>
    <row r="35">
      <c r="A35" t="inlineStr">
        <is>
          <t>TubeTech</t>
        </is>
      </c>
      <c r="B35" t="inlineStr">
        <is>
          <t>Boiler tubes</t>
        </is>
      </c>
      <c r="C35" t="n">
        <v>57</v>
      </c>
      <c r="D35">
        <f>IF(C35&gt;=85,"A",IF(C35&gt;=70,"B",IF(C35&gt;=50,"C","D")))</f>
        <v/>
      </c>
      <c r="E35" t="inlineStr">
        <is>
          <t>Blocked</t>
        </is>
      </c>
      <c r="F35" s="4" t="n">
        <v>45997.76746446259</v>
      </c>
      <c r="G35" s="4" t="n">
        <v>46362.76746446259</v>
      </c>
      <c r="H35" t="inlineStr">
        <is>
          <t>Inactive</t>
        </is>
      </c>
    </row>
    <row r="36">
      <c r="A36" t="inlineStr">
        <is>
          <t>TubeTech</t>
        </is>
      </c>
      <c r="B36" t="inlineStr">
        <is>
          <t>Boiler tubes</t>
        </is>
      </c>
      <c r="C36" t="n">
        <v>44</v>
      </c>
      <c r="D36">
        <f>IF(C36&gt;=85,"A",IF(C36&gt;=70,"B",IF(C36&gt;=50,"C","D")))</f>
        <v/>
      </c>
      <c r="E36" t="inlineStr">
        <is>
          <t>Conditional</t>
        </is>
      </c>
      <c r="F36" s="4" t="n">
        <v>45783.76746446259</v>
      </c>
      <c r="G36" s="4" t="n">
        <v>46148.76746446259</v>
      </c>
      <c r="H36" t="inlineStr">
        <is>
          <t>Active</t>
        </is>
      </c>
    </row>
    <row r="37">
      <c r="A37" t="inlineStr">
        <is>
          <t>TubeTech</t>
        </is>
      </c>
      <c r="B37" t="inlineStr">
        <is>
          <t>Boiler tubes</t>
        </is>
      </c>
      <c r="C37" t="n">
        <v>43</v>
      </c>
      <c r="D37">
        <f>IF(C37&gt;=85,"A",IF(C37&gt;=70,"B",IF(C37&gt;=50,"C","D")))</f>
        <v/>
      </c>
      <c r="E37" t="inlineStr">
        <is>
          <t>Conditional</t>
        </is>
      </c>
      <c r="F37" s="4" t="n">
        <v>45924.76746446259</v>
      </c>
      <c r="G37" s="4" t="n">
        <v>46289.76746446259</v>
      </c>
      <c r="H37" t="inlineStr">
        <is>
          <t>Active</t>
        </is>
      </c>
    </row>
    <row r="38">
      <c r="A38" t="inlineStr">
        <is>
          <t>FurnaceWorks</t>
        </is>
      </c>
      <c r="B38" t="inlineStr">
        <is>
          <t>Furnace refractories</t>
        </is>
      </c>
      <c r="C38" t="n">
        <v>61</v>
      </c>
      <c r="D38">
        <f>IF(C38&gt;=85,"A",IF(C38&gt;=70,"B",IF(C38&gt;=50,"C","D")))</f>
        <v/>
      </c>
      <c r="E38" t="inlineStr">
        <is>
          <t>Blocked</t>
        </is>
      </c>
      <c r="F38" s="4" t="n">
        <v>45935.76746446259</v>
      </c>
      <c r="G38" s="4" t="n">
        <v>46300.76746446259</v>
      </c>
      <c r="H38" t="inlineStr">
        <is>
          <t>Inactive</t>
        </is>
      </c>
    </row>
    <row r="39">
      <c r="A39" t="inlineStr">
        <is>
          <t>MineEquip</t>
        </is>
      </c>
      <c r="B39" t="inlineStr">
        <is>
          <t>Mining equipment</t>
        </is>
      </c>
      <c r="C39" t="n">
        <v>97</v>
      </c>
      <c r="D39">
        <f>IF(C39&gt;=85,"A",IF(C39&gt;=70,"B",IF(C39&gt;=50,"C","D")))</f>
        <v/>
      </c>
      <c r="E39" t="inlineStr">
        <is>
          <t>Blocked</t>
        </is>
      </c>
      <c r="F39" s="4" t="n">
        <v>45853.76746446259</v>
      </c>
      <c r="G39" s="4" t="n">
        <v>46218.76746446259</v>
      </c>
      <c r="H39" t="inlineStr">
        <is>
          <t>Inactive</t>
        </is>
      </c>
    </row>
    <row r="40">
      <c r="A40" t="inlineStr">
        <is>
          <t>FurnaceWorks</t>
        </is>
      </c>
      <c r="B40" t="inlineStr">
        <is>
          <t>Furnace refractories</t>
        </is>
      </c>
      <c r="C40" t="n">
        <v>69</v>
      </c>
      <c r="D40">
        <f>IF(C40&gt;=85,"A",IF(C40&gt;=70,"B",IF(C40&gt;=50,"C","D")))</f>
        <v/>
      </c>
      <c r="E40" t="inlineStr">
        <is>
          <t>Blocked</t>
        </is>
      </c>
      <c r="F40" s="4" t="n">
        <v>45959.76746446259</v>
      </c>
      <c r="G40" s="4" t="n">
        <v>46324.76746446259</v>
      </c>
      <c r="H40" t="inlineStr">
        <is>
          <t>Inactive</t>
        </is>
      </c>
    </row>
    <row r="41">
      <c r="A41" t="inlineStr">
        <is>
          <t>BearingHouse</t>
        </is>
      </c>
      <c r="B41" t="inlineStr">
        <is>
          <t>Bearings</t>
        </is>
      </c>
      <c r="C41" t="n">
        <v>45</v>
      </c>
      <c r="D41">
        <f>IF(C41&gt;=85,"A",IF(C41&gt;=70,"B",IF(C41&gt;=50,"C","D")))</f>
        <v/>
      </c>
      <c r="E41" t="inlineStr">
        <is>
          <t>Blocked</t>
        </is>
      </c>
      <c r="F41" s="4" t="n">
        <v>45924.76746446259</v>
      </c>
      <c r="G41" s="4" t="n">
        <v>46289.76746446259</v>
      </c>
      <c r="H41" t="inlineStr">
        <is>
          <t>Inactive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Topic</t>
        </is>
      </c>
      <c r="B1" s="3" t="inlineStr">
        <is>
          <t>Source Sheet</t>
        </is>
      </c>
      <c r="C1" s="3" t="inlineStr">
        <is>
          <t>Auto-Value</t>
        </is>
      </c>
      <c r="D1" s="3" t="inlineStr">
        <is>
          <t>Notes</t>
        </is>
      </c>
    </row>
    <row r="2">
      <c r="A2" t="inlineStr">
        <is>
          <t>Customer complaints</t>
        </is>
      </c>
      <c r="B2" t="inlineStr">
        <is>
          <t>NCR_Log</t>
        </is>
      </c>
      <c r="C2" t="inlineStr">
        <is>
          <t>Auto-summary in Stage 2</t>
        </is>
      </c>
      <c r="D2" t="inlineStr"/>
    </row>
    <row r="3">
      <c r="A3" t="inlineStr">
        <is>
          <t>Internal audit results</t>
        </is>
      </c>
      <c r="B3" t="inlineStr">
        <is>
          <t>Internal_Audits</t>
        </is>
      </c>
      <c r="C3" t="inlineStr">
        <is>
          <t>Auto-summary in Stage 2</t>
        </is>
      </c>
      <c r="D3" t="inlineStr"/>
    </row>
    <row r="4">
      <c r="A4" t="inlineStr">
        <is>
          <t>CAPA status</t>
        </is>
      </c>
      <c r="B4" t="inlineStr">
        <is>
          <t>CAPA</t>
        </is>
      </c>
      <c r="C4" t="inlineStr">
        <is>
          <t>Auto-summary in Stage 2</t>
        </is>
      </c>
      <c r="D4" t="inlineStr"/>
    </row>
    <row r="5">
      <c r="A5" t="inlineStr">
        <is>
          <t>Supplier performance</t>
        </is>
      </c>
      <c r="B5" t="inlineStr">
        <is>
          <t>Supplier_Eval</t>
        </is>
      </c>
      <c r="C5" t="inlineStr">
        <is>
          <t>Auto-summary in Stage 2</t>
        </is>
      </c>
      <c r="D5" t="inlineStr"/>
    </row>
    <row r="6">
      <c r="A6" t="inlineStr">
        <is>
          <t>Training status</t>
        </is>
      </c>
      <c r="B6" t="inlineStr">
        <is>
          <t>Training</t>
        </is>
      </c>
      <c r="C6" t="inlineStr">
        <is>
          <t>Auto-summary in Stage 2</t>
        </is>
      </c>
      <c r="D6" t="inlineStr"/>
    </row>
    <row r="7">
      <c r="A7" t="inlineStr">
        <is>
          <t>Risk profile</t>
        </is>
      </c>
      <c r="B7" t="inlineStr">
        <is>
          <t>Risk_Register</t>
        </is>
      </c>
      <c r="C7" t="inlineStr">
        <is>
          <t>Auto-summary in Stage 2</t>
        </is>
      </c>
      <c r="D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Process</t>
        </is>
      </c>
      <c r="B1" s="3" t="inlineStr">
        <is>
          <t>Inputs</t>
        </is>
      </c>
      <c r="C1" s="3" t="inlineStr">
        <is>
          <t>Outputs</t>
        </is>
      </c>
      <c r="D1" s="3" t="inlineStr">
        <is>
          <t>Upstream</t>
        </is>
      </c>
      <c r="E1" s="3" t="inlineStr">
        <is>
          <t>Downstream</t>
        </is>
      </c>
      <c r="F1" s="3" t="inlineStr">
        <is>
          <t>Owner</t>
        </is>
      </c>
    </row>
    <row r="2">
      <c r="A2" t="inlineStr">
        <is>
          <t>Sales &amp; Customer Engagement</t>
        </is>
      </c>
      <c r="D2" t="inlineStr"/>
      <c r="E2" t="inlineStr">
        <is>
          <t>Production / Operations</t>
        </is>
      </c>
      <c r="F2" t="inlineStr">
        <is>
          <t>Quality Manager</t>
        </is>
      </c>
    </row>
    <row r="3">
      <c r="A3" t="inlineStr">
        <is>
          <t>Design &amp; Engineering</t>
        </is>
      </c>
      <c r="D3" t="inlineStr">
        <is>
          <t>Sales &amp; Customer Engagement</t>
        </is>
      </c>
      <c r="E3" t="inlineStr">
        <is>
          <t>Production / Operations</t>
        </is>
      </c>
      <c r="F3" t="inlineStr">
        <is>
          <t>Ops Manager</t>
        </is>
      </c>
    </row>
    <row r="4">
      <c r="A4" t="inlineStr">
        <is>
          <t>Procurement</t>
        </is>
      </c>
      <c r="D4" t="inlineStr">
        <is>
          <t>Design &amp; Engineering</t>
        </is>
      </c>
      <c r="E4" t="inlineStr">
        <is>
          <t>Production / Operations</t>
        </is>
      </c>
      <c r="F4" t="inlineStr">
        <is>
          <t>Projects Manager</t>
        </is>
      </c>
    </row>
    <row r="5">
      <c r="A5" t="inlineStr">
        <is>
          <t>Production / Operations</t>
        </is>
      </c>
      <c r="D5" t="inlineStr">
        <is>
          <t>Procurement</t>
        </is>
      </c>
      <c r="E5" t="inlineStr">
        <is>
          <t>Quality Control / Inspection</t>
        </is>
      </c>
      <c r="F5" t="inlineStr">
        <is>
          <t>Quality Manager</t>
        </is>
      </c>
    </row>
    <row r="6">
      <c r="A6" t="inlineStr">
        <is>
          <t>Quality Control / Inspection</t>
        </is>
      </c>
      <c r="D6" t="inlineStr">
        <is>
          <t>Production / Operations</t>
        </is>
      </c>
      <c r="E6" t="inlineStr">
        <is>
          <t>Logistics / Delivery</t>
        </is>
      </c>
      <c r="F6" t="inlineStr">
        <is>
          <t>Projects Manager</t>
        </is>
      </c>
    </row>
    <row r="7">
      <c r="A7" t="inlineStr">
        <is>
          <t>Logistics / Delivery</t>
        </is>
      </c>
      <c r="D7" t="inlineStr">
        <is>
          <t>Quality Control / Inspection</t>
        </is>
      </c>
      <c r="E7" t="inlineStr">
        <is>
          <t>Customer</t>
        </is>
      </c>
      <c r="F7" t="inlineStr">
        <is>
          <t>Quality Manager</t>
        </is>
      </c>
    </row>
    <row r="8">
      <c r="A8" t="inlineStr">
        <is>
          <t>Support Services</t>
        </is>
      </c>
      <c r="D8" t="inlineStr"/>
      <c r="E8" t="inlineStr">
        <is>
          <t>All Processes</t>
        </is>
      </c>
      <c r="F8" t="inlineStr">
        <is>
          <t>Projects Manager</t>
        </is>
      </c>
    </row>
    <row r="9">
      <c r="A9" t="inlineStr">
        <is>
          <t>Management &amp; Leadership</t>
        </is>
      </c>
      <c r="D9" t="inlineStr"/>
      <c r="E9" t="inlineStr">
        <is>
          <t>All Processes</t>
        </is>
      </c>
      <c r="F9" t="inlineStr">
        <is>
          <t>Ops Manager</t>
        </is>
      </c>
    </row>
    <row r="10">
      <c r="A10" t="inlineStr">
        <is>
          <t>Improvement</t>
        </is>
      </c>
      <c r="D10" t="inlineStr">
        <is>
          <t>All Processes</t>
        </is>
      </c>
      <c r="E10" t="inlineStr">
        <is>
          <t>All Processes</t>
        </is>
      </c>
      <c r="F10" t="inlineStr">
        <is>
          <t>Projects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2026-02-21T16:25:08Z</dcterms:created>
  <dcterms:modified xsi:type="dcterms:W3CDTF">2026-02-21T16:25:08Z</dcterms:modified>
</cp:coreProperties>
</file>