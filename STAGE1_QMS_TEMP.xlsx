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Dashboard" sheetId="1" state="visible" r:id="rId3"/>
    <sheet name="Risk_Register" sheetId="2" state="visible" r:id="rId4"/>
    <sheet name="NCR_Log" sheetId="3" state="visible" r:id="rId5"/>
    <sheet name="Inspections" sheetId="4" state="visible" r:id="rId6"/>
    <sheet name="CAPA" sheetId="5" state="visible" r:id="rId7"/>
    <sheet name="Internal_Audits" sheetId="6" state="visible" r:id="rId8"/>
    <sheet name="Doc_Control" sheetId="7" state="visible" r:id="rId9"/>
    <sheet name="Training" sheetId="8" state="visible" r:id="rId10"/>
    <sheet name="Supplier_Eval" sheetId="9" state="visible" r:id="rId11"/>
    <sheet name="Management_Review" sheetId="10" state="visible" r:id="rId12"/>
    <sheet name="Process_Map" sheetId="11" state="visible" r:id="rId13"/>
    <sheet name="Risk_by_Process" sheetId="12" state="visible" r:id="rId14"/>
    <sheet name="CAPA_Summary" sheetId="13" state="visible" r:id="rId15"/>
    <sheet name="NCR_Summary" sheetId="14" state="visible" r:id="rId16"/>
    <sheet name="Training_Summary" sheetId="15" state="visible" r:id="rId17"/>
    <sheet name="Supplier_Bands" sheetId="16" state="visible" r:id="rId18"/>
    <sheet name="Sheet1" sheetId="17" state="visible" r:id="rId1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<sst xmlns="http://schemas.openxmlformats.org/spreadsheetml/2006/main" count="1902" uniqueCount="886">
  <si>
    <t xml:space="preserve">LOGO HERE</t>
  </si>
  <si>
    <t xml:space="preserve">Unnamed: 1</t>
  </si>
  <si>
    <t xml:space="preserve">Unnamed: 2</t>
  </si>
  <si>
    <t xml:space="preserve">ISO 9001:2015 Quality Management System</t>
  </si>
  <si>
    <t xml:space="preserve">Open NCRs</t>
  </si>
  <si>
    <t xml:space="preserve">Open CAPAs</t>
  </si>
  <si>
    <t xml:space="preserve">Overdue CAPAs</t>
  </si>
  <si>
    <t xml:space="preserve">High Risks</t>
  </si>
  <si>
    <t xml:space="preserve">Documents Due</t>
  </si>
  <si>
    <t xml:space="preserve">Expired Training</t>
  </si>
  <si>
    <t xml:space="preserve">ISO 9001:2015 QMS — Revision 1.0</t>
  </si>
  <si>
    <t xml:space="preserve">Generated:</t>
  </si>
  <si>
    <t xml:space="preserve">Risk ID</t>
  </si>
  <si>
    <t xml:space="preserve">Process</t>
  </si>
  <si>
    <t xml:space="preserve">Description</t>
  </si>
  <si>
    <t xml:space="preserve">Likelihood</t>
  </si>
  <si>
    <t xml:space="preserve">Severity</t>
  </si>
  <si>
    <t xml:space="preserve">Risk Score</t>
  </si>
  <si>
    <t xml:space="preserve">Owner</t>
  </si>
  <si>
    <t xml:space="preserve">Treatment Plan</t>
  </si>
  <si>
    <t xml:space="preserve">Due Date</t>
  </si>
  <si>
    <t xml:space="preserve">Status</t>
  </si>
  <si>
    <t xml:space="preserve">R001</t>
  </si>
  <si>
    <t xml:space="preserve">Buying</t>
  </si>
  <si>
    <t xml:space="preserve">Receiving buying req</t>
  </si>
  <si>
    <t xml:space="preserve">Sam</t>
  </si>
  <si>
    <t xml:space="preserve">Check customer specification</t>
  </si>
  <si>
    <t xml:space="preserve">Reviewed</t>
  </si>
  <si>
    <t xml:space="preserve">R002</t>
  </si>
  <si>
    <t xml:space="preserve">Get quote from supplier</t>
  </si>
  <si>
    <t xml:space="preserve">No treatment plan</t>
  </si>
  <si>
    <t xml:space="preserve">R003</t>
  </si>
  <si>
    <t xml:space="preserve">Genarate order on sap system</t>
  </si>
  <si>
    <t xml:space="preserve">R004</t>
  </si>
  <si>
    <t xml:space="preserve">Directors to approve orders</t>
  </si>
  <si>
    <t xml:space="preserve">R005</t>
  </si>
  <si>
    <t xml:space="preserve">Stores receive items ordered</t>
  </si>
  <si>
    <t xml:space="preserve">Check correct supplied</t>
  </si>
  <si>
    <t xml:space="preserve">R006</t>
  </si>
  <si>
    <t xml:space="preserve">Receive sighned orders/del notes/tax inv</t>
  </si>
  <si>
    <t xml:space="preserve">R007</t>
  </si>
  <si>
    <t xml:space="preserve">Book into Sap system</t>
  </si>
  <si>
    <t xml:space="preserve">Late payment to suppliers</t>
  </si>
  <si>
    <t xml:space="preserve">R008</t>
  </si>
  <si>
    <t xml:space="preserve">Send documents to creditors</t>
  </si>
  <si>
    <t xml:space="preserve">R009</t>
  </si>
  <si>
    <t xml:space="preserve">IT</t>
  </si>
  <si>
    <t xml:space="preserve">Back up server info</t>
  </si>
  <si>
    <t xml:space="preserve">Allan</t>
  </si>
  <si>
    <t xml:space="preserve">R010</t>
  </si>
  <si>
    <t xml:space="preserve">Network failure</t>
  </si>
  <si>
    <t xml:space="preserve">R011</t>
  </si>
  <si>
    <t xml:space="preserve">Malware/spy ware infection</t>
  </si>
  <si>
    <t xml:space="preserve">Allan </t>
  </si>
  <si>
    <t xml:space="preserve">R012</t>
  </si>
  <si>
    <t xml:space="preserve">Lightning/power surge</t>
  </si>
  <si>
    <t xml:space="preserve">R013</t>
  </si>
  <si>
    <t xml:space="preserve">Power outage</t>
  </si>
  <si>
    <t xml:space="preserve">R014</t>
  </si>
  <si>
    <t xml:space="preserve">Planning</t>
  </si>
  <si>
    <t xml:space="preserve">Identifying goods received</t>
  </si>
  <si>
    <t xml:space="preserve">David</t>
  </si>
  <si>
    <t xml:space="preserve">R015</t>
  </si>
  <si>
    <t xml:space="preserve">Make drawings as requested/supplied</t>
  </si>
  <si>
    <t xml:space="preserve">make sure info correct</t>
  </si>
  <si>
    <t xml:space="preserve">R016</t>
  </si>
  <si>
    <t xml:space="preserve">Receive customer requirement forms</t>
  </si>
  <si>
    <t xml:space="preserve">R017</t>
  </si>
  <si>
    <t xml:space="preserve">Genarate job cards</t>
  </si>
  <si>
    <t xml:space="preserve">R018</t>
  </si>
  <si>
    <t xml:space="preserve">Genarate delivery note</t>
  </si>
  <si>
    <t xml:space="preserve">R019</t>
  </si>
  <si>
    <t xml:space="preserve">Caoturing of time sheets</t>
  </si>
  <si>
    <t xml:space="preserve">Magda double check from costing</t>
  </si>
  <si>
    <t xml:space="preserve">R020</t>
  </si>
  <si>
    <t xml:space="preserve">Complete job cards sighned off</t>
  </si>
  <si>
    <t xml:space="preserve">R021</t>
  </si>
  <si>
    <t xml:space="preserve">Ad new job cards to working progress</t>
  </si>
  <si>
    <t xml:space="preserve">R022</t>
  </si>
  <si>
    <t xml:space="preserve">Workshop</t>
  </si>
  <si>
    <t xml:space="preserve">Receive job cards</t>
  </si>
  <si>
    <t xml:space="preserve">Stephen</t>
  </si>
  <si>
    <t xml:space="preserve">R023</t>
  </si>
  <si>
    <t xml:space="preserve">Prep machine components</t>
  </si>
  <si>
    <t xml:space="preserve">R024</t>
  </si>
  <si>
    <t xml:space="preserve">Final machine components</t>
  </si>
  <si>
    <t xml:space="preserve">verify inspection caried out</t>
  </si>
  <si>
    <t xml:space="preserve">R025</t>
  </si>
  <si>
    <t xml:space="preserve">Strip nonforming components</t>
  </si>
  <si>
    <t xml:space="preserve">Recalibrate measuring equipment</t>
  </si>
  <si>
    <t xml:space="preserve">R026</t>
  </si>
  <si>
    <t xml:space="preserve">Final hone components</t>
  </si>
  <si>
    <t xml:space="preserve">Verify final sizes to specs</t>
  </si>
  <si>
    <t xml:space="preserve">R027</t>
  </si>
  <si>
    <t xml:space="preserve">Creditors</t>
  </si>
  <si>
    <t xml:space="preserve">Chech paperwork and sighnatures</t>
  </si>
  <si>
    <t xml:space="preserve">Yvonne</t>
  </si>
  <si>
    <t xml:space="preserve">R028</t>
  </si>
  <si>
    <t xml:space="preserve">Load invoice on Sap</t>
  </si>
  <si>
    <t xml:space="preserve">R029</t>
  </si>
  <si>
    <t xml:space="preserve">Gather info from remittance</t>
  </si>
  <si>
    <t xml:space="preserve">R030</t>
  </si>
  <si>
    <t xml:space="preserve">Printing Sap/aging analysis</t>
  </si>
  <si>
    <t xml:space="preserve">R031</t>
  </si>
  <si>
    <t xml:space="preserve">Go for verification</t>
  </si>
  <si>
    <t xml:space="preserve">R032</t>
  </si>
  <si>
    <t xml:space="preserve">Type payment batch</t>
  </si>
  <si>
    <t xml:space="preserve">R033</t>
  </si>
  <si>
    <t xml:space="preserve">Load payment batch</t>
  </si>
  <si>
    <t xml:space="preserve">R034</t>
  </si>
  <si>
    <t xml:space="preserve">Checking bank</t>
  </si>
  <si>
    <t xml:space="preserve">R035</t>
  </si>
  <si>
    <t xml:space="preserve">Recon bank to Sap</t>
  </si>
  <si>
    <t xml:space="preserve">RO36</t>
  </si>
  <si>
    <t xml:space="preserve">Debtors</t>
  </si>
  <si>
    <t xml:space="preserve">Receiving job cards and POD`s</t>
  </si>
  <si>
    <t xml:space="preserve">Tessa/Yvonne</t>
  </si>
  <si>
    <t xml:space="preserve">Awareness of process</t>
  </si>
  <si>
    <t xml:space="preserve">RO37</t>
  </si>
  <si>
    <t xml:space="preserve">Genarate invoices</t>
  </si>
  <si>
    <t xml:space="preserve">RO38</t>
  </si>
  <si>
    <t xml:space="preserve">Send invoice to customer</t>
  </si>
  <si>
    <t xml:space="preserve">RO39</t>
  </si>
  <si>
    <t xml:space="preserve">Filing of documents</t>
  </si>
  <si>
    <t xml:space="preserve">Retain hard &amp; electronic copy</t>
  </si>
  <si>
    <t xml:space="preserve">RO40</t>
  </si>
  <si>
    <t xml:space="preserve">Yvonne to follow up payments</t>
  </si>
  <si>
    <t xml:space="preserve">RO41</t>
  </si>
  <si>
    <t xml:space="preserve">Receive payments</t>
  </si>
  <si>
    <t xml:space="preserve">Put on C.O.D.Bad payment</t>
  </si>
  <si>
    <t xml:space="preserve">RO42</t>
  </si>
  <si>
    <t xml:space="preserve">Fitting</t>
  </si>
  <si>
    <t xml:space="preserve">Receive strip job card</t>
  </si>
  <si>
    <t xml:space="preserve">Rudi/Amos</t>
  </si>
  <si>
    <t xml:space="preserve">RO43</t>
  </si>
  <si>
    <t xml:space="preserve">Segregate components</t>
  </si>
  <si>
    <t xml:space="preserve">RO44</t>
  </si>
  <si>
    <t xml:space="preserve">Drill &amp;tap components</t>
  </si>
  <si>
    <t xml:space="preserve">RO45</t>
  </si>
  <si>
    <t xml:space="preserve">Assemble of pumps &amp;components</t>
  </si>
  <si>
    <t xml:space="preserve">RO46</t>
  </si>
  <si>
    <t xml:space="preserve">Final inspection</t>
  </si>
  <si>
    <t xml:space="preserve">RO47</t>
  </si>
  <si>
    <t xml:space="preserve">Preasure test pumps</t>
  </si>
  <si>
    <t xml:space="preserve">RO48</t>
  </si>
  <si>
    <t xml:space="preserve">Fit pipe work</t>
  </si>
  <si>
    <t xml:space="preserve">RO49</t>
  </si>
  <si>
    <t xml:space="preserve">Paint pump/supply stickers</t>
  </si>
  <si>
    <t xml:space="preserve">RO50</t>
  </si>
  <si>
    <t xml:space="preserve">Grinding</t>
  </si>
  <si>
    <t xml:space="preserve">RO51</t>
  </si>
  <si>
    <t xml:space="preserve">Grind components to specification</t>
  </si>
  <si>
    <t xml:space="preserve">RO52</t>
  </si>
  <si>
    <t xml:space="preserve">RO53</t>
  </si>
  <si>
    <t xml:space="preserve">Generate ncr</t>
  </si>
  <si>
    <t xml:space="preserve">Check process &amp;r calibrate equipment</t>
  </si>
  <si>
    <t xml:space="preserve">RO54</t>
  </si>
  <si>
    <t xml:space="preserve">Grind comp to specs</t>
  </si>
  <si>
    <t xml:space="preserve">RO55</t>
  </si>
  <si>
    <t xml:space="preserve">RO56</t>
  </si>
  <si>
    <t xml:space="preserve">Poly/robot</t>
  </si>
  <si>
    <t xml:space="preserve">Receive scope of work/job card</t>
  </si>
  <si>
    <t xml:space="preserve">RO57</t>
  </si>
  <si>
    <t xml:space="preserve">Identify areas to be coated</t>
  </si>
  <si>
    <t xml:space="preserve">RO58</t>
  </si>
  <si>
    <t xml:space="preserve">Coat components as requested</t>
  </si>
  <si>
    <t xml:space="preserve">Ensure correct coating applied/sizes</t>
  </si>
  <si>
    <t xml:space="preserve">RO59</t>
  </si>
  <si>
    <t xml:space="preserve">Generate internal ncr</t>
  </si>
  <si>
    <t xml:space="preserve">RO60</t>
  </si>
  <si>
    <t xml:space="preserve">Recoat componants</t>
  </si>
  <si>
    <t xml:space="preserve">RO61 </t>
  </si>
  <si>
    <t xml:space="preserve">Program robot</t>
  </si>
  <si>
    <t xml:space="preserve">Correct setting</t>
  </si>
  <si>
    <t xml:space="preserve">RO62</t>
  </si>
  <si>
    <t xml:space="preserve">RO63</t>
  </si>
  <si>
    <t xml:space="preserve">Stores</t>
  </si>
  <si>
    <t xml:space="preserve">Rec item.generate stores receive note1</t>
  </si>
  <si>
    <t xml:space="preserve">Magda</t>
  </si>
  <si>
    <t xml:space="preserve">RO64</t>
  </si>
  <si>
    <t xml:space="preserve">Book stock on Sap.</t>
  </si>
  <si>
    <t xml:space="preserve">Goods receive/incorrect allocation</t>
  </si>
  <si>
    <t xml:space="preserve">RO65</t>
  </si>
  <si>
    <t xml:space="preserve">Gen customer req form</t>
  </si>
  <si>
    <t xml:space="preserve">RO66</t>
  </si>
  <si>
    <t xml:space="preserve">Gen stock card raw casting</t>
  </si>
  <si>
    <t xml:space="preserve">RO67</t>
  </si>
  <si>
    <t xml:space="preserve">Final finished job costing</t>
  </si>
  <si>
    <t xml:space="preserve">RO68</t>
  </si>
  <si>
    <t xml:space="preserve">Book stock out of stores</t>
  </si>
  <si>
    <t xml:space="preserve">final inspection</t>
  </si>
  <si>
    <t xml:space="preserve">RO69</t>
  </si>
  <si>
    <t xml:space="preserve">Month end stock take</t>
  </si>
  <si>
    <t xml:space="preserve">Double check stock count</t>
  </si>
  <si>
    <t xml:space="preserve">RO70</t>
  </si>
  <si>
    <t xml:space="preserve">Customer job costing</t>
  </si>
  <si>
    <t xml:space="preserve">accurate traceability to job</t>
  </si>
  <si>
    <t xml:space="preserve">RO71</t>
  </si>
  <si>
    <t xml:space="preserve">Sprayrooms</t>
  </si>
  <si>
    <t xml:space="preserve">Basil</t>
  </si>
  <si>
    <t xml:space="preserve">RO72</t>
  </si>
  <si>
    <t xml:space="preserve">Identifi areas not to be coated</t>
  </si>
  <si>
    <t xml:space="preserve">RO73</t>
  </si>
  <si>
    <t xml:space="preserve">Coat areas as requested</t>
  </si>
  <si>
    <t xml:space="preserve">RO74</t>
  </si>
  <si>
    <t xml:space="preserve">RO75</t>
  </si>
  <si>
    <t xml:space="preserve">RO76</t>
  </si>
  <si>
    <t xml:space="preserve">NCR No</t>
  </si>
  <si>
    <t xml:space="preserve">Date</t>
  </si>
  <si>
    <t xml:space="preserve">Source</t>
  </si>
  <si>
    <t xml:space="preserve">Immediate Correction</t>
  </si>
  <si>
    <t xml:space="preserve">Linked CAPA</t>
  </si>
  <si>
    <t xml:space="preserve">NCR001</t>
  </si>
  <si>
    <t xml:space="preserve">Final Inspection</t>
  </si>
  <si>
    <t xml:space="preserve">Incorrect impeller clearance on pump overhaul</t>
  </si>
  <si>
    <t xml:space="preserve">Correction implemented</t>
  </si>
  <si>
    <t xml:space="preserve">CAPA001</t>
  </si>
  <si>
    <t xml:space="preserve">Maintenance Manager</t>
  </si>
  <si>
    <t xml:space="preserve">Under Review</t>
  </si>
  <si>
    <t xml:space="preserve">NCR002</t>
  </si>
  <si>
    <t xml:space="preserve">P&amp;S Engineering</t>
  </si>
  <si>
    <t xml:space="preserve">Bearing journals not grind to spec, bearings were oversize</t>
  </si>
  <si>
    <t xml:space="preserve">Repair instruction issued</t>
  </si>
  <si>
    <t xml:space="preserve">CAPA002</t>
  </si>
  <si>
    <t xml:space="preserve">Quality rep</t>
  </si>
  <si>
    <t xml:space="preserve">Closed</t>
  </si>
  <si>
    <t xml:space="preserve">NCR003</t>
  </si>
  <si>
    <t xml:space="preserve">Knight sales</t>
  </si>
  <si>
    <t xml:space="preserve">imp boss off center</t>
  </si>
  <si>
    <t xml:space="preserve">return to foundre and replace</t>
  </si>
  <si>
    <t xml:space="preserve">CAPA003</t>
  </si>
  <si>
    <t xml:space="preserve">Clifford </t>
  </si>
  <si>
    <t xml:space="preserve">NCR004</t>
  </si>
  <si>
    <t xml:space="preserve">Knights sales</t>
  </si>
  <si>
    <t xml:space="preserve">Inferior casting</t>
  </si>
  <si>
    <t xml:space="preserve">CAPA004</t>
  </si>
  <si>
    <t xml:space="preserve">NCR005</t>
  </si>
  <si>
    <t xml:space="preserve">Inferior castings</t>
  </si>
  <si>
    <t xml:space="preserve">CAPA005</t>
  </si>
  <si>
    <t xml:space="preserve">NCR006</t>
  </si>
  <si>
    <t xml:space="preserve">Holes in casting</t>
  </si>
  <si>
    <t xml:space="preserve">CAPA006</t>
  </si>
  <si>
    <t xml:space="preserve">NCR007</t>
  </si>
  <si>
    <t xml:space="preserve">Studbolt distributors</t>
  </si>
  <si>
    <t xml:space="preserve">Nuts to loose on studs.customer rejected </t>
  </si>
  <si>
    <t xml:space="preserve">replace</t>
  </si>
  <si>
    <t xml:space="preserve">CAPA007</t>
  </si>
  <si>
    <t xml:space="preserve">NCR008</t>
  </si>
  <si>
    <t xml:space="preserve">Ebenhaeser eng</t>
  </si>
  <si>
    <t xml:space="preserve">please rectify</t>
  </si>
  <si>
    <t xml:space="preserve">CAPA008</t>
  </si>
  <si>
    <t xml:space="preserve">NCR009</t>
  </si>
  <si>
    <t xml:space="preserve">brg jnl location to short</t>
  </si>
  <si>
    <t xml:space="preserve">lengthen jnl</t>
  </si>
  <si>
    <t xml:space="preserve">CAPA009</t>
  </si>
  <si>
    <t xml:space="preserve">NCR010</t>
  </si>
  <si>
    <t xml:space="preserve">bore not concentric to vanes</t>
  </si>
  <si>
    <t xml:space="preserve">CAPA010</t>
  </si>
  <si>
    <t xml:space="preserve">NCR011</t>
  </si>
  <si>
    <t xml:space="preserve">Aklin</t>
  </si>
  <si>
    <t xml:space="preserve">threads badly damaged</t>
  </si>
  <si>
    <t xml:space="preserve">CAPA011</t>
  </si>
  <si>
    <t xml:space="preserve">NCR012</t>
  </si>
  <si>
    <t xml:space="preserve">blow holes in casting</t>
  </si>
  <si>
    <t xml:space="preserve">CAPA012</t>
  </si>
  <si>
    <t xml:space="preserve">NCR013</t>
  </si>
  <si>
    <t xml:space="preserve">Aklin Carbide</t>
  </si>
  <si>
    <t xml:space="preserve">some job Items not identified in workshop</t>
  </si>
  <si>
    <t xml:space="preserve">Write/tag/ingrave items</t>
  </si>
  <si>
    <t xml:space="preserve">CAPA013</t>
  </si>
  <si>
    <t xml:space="preserve">Q/A</t>
  </si>
  <si>
    <t xml:space="preserve">NCR014</t>
  </si>
  <si>
    <t xml:space="preserve">Internal Audit AC-IA-2026-08</t>
  </si>
  <si>
    <t xml:space="preserve">Incoming inspection: no evidence that incoming components are checked for visible defects/contamination before acceptance (ISO 9001 cl. 8.5.1)</t>
  </si>
  <si>
    <t xml:space="preserve">Introduce signed incoming-inspection record capturing the visual defect/contamination check</t>
  </si>
  <si>
    <t xml:space="preserve">CAPA014</t>
  </si>
  <si>
    <t xml:space="preserve">Quality Manager</t>
  </si>
  <si>
    <t xml:space="preserve">Open</t>
  </si>
  <si>
    <t xml:space="preserve">NCR015</t>
  </si>
  <si>
    <t xml:space="preserve">Grid blasting: calibration records for blasting-equipment pressure gauges could not be produced (cl. 7.1.5)</t>
  </si>
  <si>
    <t xml:space="preserve">Identify all pressure gauges; quarantine any uncalibrated gauge from acceptance decisions</t>
  </si>
  <si>
    <t xml:space="preserve">CAPA015</t>
  </si>
  <si>
    <t xml:space="preserve">Maintenance</t>
  </si>
  <si>
    <t xml:space="preserve">NCR016</t>
  </si>
  <si>
    <t xml:space="preserve">Grid blasting: MRB / disposition process for nonconforming blasted parts not defined or evidenced (cl. 8.7 / 10.2)</t>
  </si>
  <si>
    <t xml:space="preserve">Segregate and label nonconforming blasted parts pending disposition</t>
  </si>
  <si>
    <t xml:space="preserve">CAPA016</t>
  </si>
  <si>
    <t xml:space="preserve">Quality / Production</t>
  </si>
  <si>
    <t xml:space="preserve">NCR017</t>
  </si>
  <si>
    <t xml:space="preserve">Machining: periodic refresher training for machining/grinding operators not evidenced (cl. 7.2 / 10.3)</t>
  </si>
  <si>
    <t xml:space="preserve">Identify operators due for refresher; brief on grinding set-up and in-process gauging</t>
  </si>
  <si>
    <t xml:space="preserve">CAPA017</t>
  </si>
  <si>
    <t xml:space="preserve">Production Manager</t>
  </si>
  <si>
    <t xml:space="preserve">NCR018</t>
  </si>
  <si>
    <t xml:space="preserve">Maintenance: MRB / disposition process not defined or followed (cl. 8.7 / 10.2)</t>
  </si>
  <si>
    <t xml:space="preserve">Segregate and label nonconforming items pending disposition</t>
  </si>
  <si>
    <t xml:space="preserve">CAPA018</t>
  </si>
  <si>
    <t xml:space="preserve">NCR019</t>
  </si>
  <si>
    <t xml:space="preserve">Maintenance: NCRs and corrective actions for maintenance nonconformities not documented (cl. 8.7 / 10.2)</t>
  </si>
  <si>
    <t xml:space="preserve">Begin logging maintenance nonconformities on the company NCR form</t>
  </si>
  <si>
    <t xml:space="preserve">CAPA019</t>
  </si>
  <si>
    <t xml:space="preserve">Maintenance / Quality</t>
  </si>
  <si>
    <t xml:space="preserve">NCR020</t>
  </si>
  <si>
    <t xml:space="preserve">Quality management: no standardised, documented audit-scoring system; dashboard tallies do not reconcile to line items (cl. 9.2.2)</t>
  </si>
  <si>
    <t xml:space="preserve">Confirm line-item scores as authoritative for the current audit</t>
  </si>
  <si>
    <t xml:space="preserve">CAPA020</t>
  </si>
  <si>
    <t xml:space="preserve">Management Representative</t>
  </si>
  <si>
    <t xml:space="preserve">NCR021</t>
  </si>
  <si>
    <t xml:space="preserve">CAPA021</t>
  </si>
  <si>
    <t xml:space="preserve">NCR022</t>
  </si>
  <si>
    <t xml:space="preserve">CAPA022</t>
  </si>
  <si>
    <t xml:space="preserve">NCR023</t>
  </si>
  <si>
    <t xml:space="preserve">CAPA023</t>
  </si>
  <si>
    <t xml:space="preserve">NCR024</t>
  </si>
  <si>
    <t xml:space="preserve">CAPA024</t>
  </si>
  <si>
    <t xml:space="preserve">NCR025</t>
  </si>
  <si>
    <t xml:space="preserve">CAPA025</t>
  </si>
  <si>
    <t xml:space="preserve">NCR026</t>
  </si>
  <si>
    <t xml:space="preserve">CAPA026</t>
  </si>
  <si>
    <t xml:space="preserve">NCR027</t>
  </si>
  <si>
    <t xml:space="preserve">CAPA027</t>
  </si>
  <si>
    <t xml:space="preserve">NCR028</t>
  </si>
  <si>
    <t xml:space="preserve">CAPA028</t>
  </si>
  <si>
    <t xml:space="preserve">NCR029</t>
  </si>
  <si>
    <t xml:space="preserve">CAPA029</t>
  </si>
  <si>
    <t xml:space="preserve">NCR030</t>
  </si>
  <si>
    <t xml:space="preserve">CAPA030</t>
  </si>
  <si>
    <t xml:space="preserve">NCR031</t>
  </si>
  <si>
    <t xml:space="preserve">CAPA031</t>
  </si>
  <si>
    <t xml:space="preserve">Inspection ID </t>
  </si>
  <si>
    <t xml:space="preserve">Area</t>
  </si>
  <si>
    <t xml:space="preserve">Criteria inspected</t>
  </si>
  <si>
    <t xml:space="preserve">Inspector</t>
  </si>
  <si>
    <t xml:space="preserve">Result</t>
  </si>
  <si>
    <t xml:space="preserve">Comments</t>
  </si>
  <si>
    <t xml:space="preserve">Spray room</t>
  </si>
  <si>
    <t xml:space="preserve">spray pannels</t>
  </si>
  <si>
    <t xml:space="preserve">Rudi </t>
  </si>
  <si>
    <t xml:space="preserve">pass</t>
  </si>
  <si>
    <t xml:space="preserve">Completed</t>
  </si>
  <si>
    <t xml:space="preserve">ALL GOOD</t>
  </si>
  <si>
    <t xml:space="preserve">GASS BOTTLES AND PIPES</t>
  </si>
  <si>
    <t xml:space="preserve">PASS</t>
  </si>
  <si>
    <t xml:space="preserve">GRIT BLAST </t>
  </si>
  <si>
    <t xml:space="preserve">LIGHTING INSIDE BLAST</t>
  </si>
  <si>
    <t xml:space="preserve">MACHINING</t>
  </si>
  <si>
    <t xml:space="preserve">CRANES AND HOISTS</t>
  </si>
  <si>
    <t xml:space="preserve">WELDING</t>
  </si>
  <si>
    <t xml:space="preserve">PPE</t>
  </si>
  <si>
    <t xml:space="preserve">INSPECTION</t>
  </si>
  <si>
    <t xml:space="preserve">STATE OF MEASURING EQ</t>
  </si>
  <si>
    <t xml:space="preserve">MAINTENANCE</t>
  </si>
  <si>
    <t xml:space="preserve">OVERALL STATE OF ROOM</t>
  </si>
  <si>
    <t xml:space="preserve">FITTING DEP</t>
  </si>
  <si>
    <t xml:space="preserve">SIGHNS AND LOGOS</t>
  </si>
  <si>
    <t xml:space="preserve">SPRAY ROOM (ROBOT)</t>
  </si>
  <si>
    <t xml:space="preserve">PANNEL AND LIGHTING</t>
  </si>
  <si>
    <t xml:space="preserve">check allpaperwork</t>
  </si>
  <si>
    <t xml:space="preserve">Welding &amp;fetteling</t>
  </si>
  <si>
    <t xml:space="preserve">houskeeping </t>
  </si>
  <si>
    <t xml:space="preserve">housekeeping</t>
  </si>
  <si>
    <t xml:space="preserve">electrical</t>
  </si>
  <si>
    <t xml:space="preserve">Fetteling bay</t>
  </si>
  <si>
    <t xml:space="preserve">Lightinginside</t>
  </si>
  <si>
    <t xml:space="preserve">Spray rooms</t>
  </si>
  <si>
    <t xml:space="preserve">CAPA No</t>
  </si>
  <si>
    <t xml:space="preserve">Linked NCR</t>
  </si>
  <si>
    <t xml:space="preserve">Date Raised</t>
  </si>
  <si>
    <t xml:space="preserve">Root Cause</t>
  </si>
  <si>
    <t xml:space="preserve">Corrective Action</t>
  </si>
  <si>
    <t xml:space="preserve">Target Date</t>
  </si>
  <si>
    <t xml:space="preserve">Completion Date</t>
  </si>
  <si>
    <t xml:space="preserve">Effectiveness</t>
  </si>
  <si>
    <t xml:space="preserve">ncr no</t>
  </si>
  <si>
    <t xml:space="preserve">Inadequate work instruction</t>
  </si>
  <si>
    <t xml:space="preserve">Update WI / retrain staff / improve inspection</t>
  </si>
  <si>
    <t xml:space="preserve">Not Verified</t>
  </si>
  <si>
    <t xml:space="preserve">Final inspection not done - in process failure</t>
  </si>
  <si>
    <t xml:space="preserve">Aklin re-grind the bearing</t>
  </si>
  <si>
    <t xml:space="preserve">Verified</t>
  </si>
  <si>
    <t xml:space="preserve">impeller boss off centre</t>
  </si>
  <si>
    <t xml:space="preserve"> return to Knights sales and replace</t>
  </si>
  <si>
    <t xml:space="preserve">Clifford</t>
  </si>
  <si>
    <t xml:space="preserve">closed</t>
  </si>
  <si>
    <t xml:space="preserve">Inferior Casting</t>
  </si>
  <si>
    <t xml:space="preserve">return to Knights sales and replace</t>
  </si>
  <si>
    <t xml:space="preserve">nuts loose on studs</t>
  </si>
  <si>
    <t xml:space="preserve">rectify</t>
  </si>
  <si>
    <t xml:space="preserve">lengthen</t>
  </si>
  <si>
    <t xml:space="preserve">Some items not identified in workshop</t>
  </si>
  <si>
    <t xml:space="preserve">tag/wright/ingrave all jobs </t>
  </si>
  <si>
    <t xml:space="preserve">in process</t>
  </si>
  <si>
    <t xml:space="preserve">Visual defect/contamination check not recorded in incoming inspection</t>
  </si>
  <si>
    <t xml:space="preserve">Update incoming-inspection work instruction to require the visual check to be recorded; brief inspectors; retain records</t>
  </si>
  <si>
    <t xml:space="preserve">Blasting pressure gauges omitted from the calibration programme</t>
  </si>
  <si>
    <t xml:space="preserve">Add blasting pressure gauges to the calibration register and schedule; calibrate and retain certificates</t>
  </si>
  <si>
    <t xml:space="preserve">MRB / disposition process not defined at floor level in grid blasting</t>
  </si>
  <si>
    <t xml:space="preserve">Define a simple MRB / disposition record; train staff; apply consistently (align to company-wide MRB workflow)</t>
  </si>
  <si>
    <t xml:space="preserve">No refresher-training plan or record for machining / grinding operators</t>
  </si>
  <si>
    <t xml:space="preserve">Establish a refresher-training plan and training record; link to the competency matrix</t>
  </si>
  <si>
    <t xml:space="preserve">MRB / disposition process not applied in maintenance</t>
  </si>
  <si>
    <t xml:space="preserve">Extend the standard MRB / disposition record to maintenance; train staff</t>
  </si>
  <si>
    <t xml:space="preserve">Maintenance nonconformities not logged</t>
  </si>
  <si>
    <t xml:space="preserve">Adopt the company NCR form in maintenance; log and track corrective actions to closure</t>
  </si>
  <si>
    <t xml:space="preserve">Audit scoring not standardised; dashboard not derived from line items</t>
  </si>
  <si>
    <t xml:space="preserve">Adopt a documented scoring rubric (Compliant/Non-compliant/N-A); derive dashboard totals from line items; reissue the audit template</t>
  </si>
  <si>
    <t xml:space="preserve">Audit ID</t>
  </si>
  <si>
    <t xml:space="preserve">Auditor</t>
  </si>
  <si>
    <t xml:space="preserve">Planned Date</t>
  </si>
  <si>
    <t xml:space="preserve">Actual Date</t>
  </si>
  <si>
    <t xml:space="preserve">Findings</t>
  </si>
  <si>
    <t xml:space="preserve">NC Raised</t>
  </si>
  <si>
    <t xml:space="preserve">AUD001</t>
  </si>
  <si>
    <t xml:space="preserve">RUDI</t>
  </si>
  <si>
    <t xml:space="preserve">GAS PIPES PERRICHED.REPLACE</t>
  </si>
  <si>
    <t xml:space="preserve">NO</t>
  </si>
  <si>
    <t xml:space="preserve">AUD002</t>
  </si>
  <si>
    <t xml:space="preserve">GRIT BLAST 3RD  BAY</t>
  </si>
  <si>
    <t xml:space="preserve">NONE</t>
  </si>
  <si>
    <t xml:space="preserve">AUD003</t>
  </si>
  <si>
    <t xml:space="preserve">SPRAY ROOMS</t>
  </si>
  <si>
    <t xml:space="preserve">HOUSEKEEPING DOWN.CLEAN ROOMS</t>
  </si>
  <si>
    <t xml:space="preserve">AUD004</t>
  </si>
  <si>
    <t xml:space="preserve">WELDING BAY</t>
  </si>
  <si>
    <t xml:space="preserve">AUD005</t>
  </si>
  <si>
    <t xml:space="preserve">FETTELING AND GRINDING BAY</t>
  </si>
  <si>
    <t xml:space="preserve">DIRTY.CLEAN AND SWEEP BAY</t>
  </si>
  <si>
    <t xml:space="preserve">AUD006</t>
  </si>
  <si>
    <t xml:space="preserve">DIRTY FROM STRIPPING PUMPS.CLEAN</t>
  </si>
  <si>
    <t xml:space="preserve">AUD007</t>
  </si>
  <si>
    <t xml:space="preserve">WATER TANKS SMELLY FROM DIRTY WATER</t>
  </si>
  <si>
    <t xml:space="preserve">AUD008</t>
  </si>
  <si>
    <t xml:space="preserve">AUD009</t>
  </si>
  <si>
    <t xml:space="preserve">INCOMING INSPECTION</t>
  </si>
  <si>
    <t xml:space="preserve">AUD010</t>
  </si>
  <si>
    <t xml:space="preserve">WELDING FETTELING GRINDING</t>
  </si>
  <si>
    <t xml:space="preserve">AUD011</t>
  </si>
  <si>
    <t xml:space="preserve">STORES</t>
  </si>
  <si>
    <t xml:space="preserve">CLEAN AND TIDY</t>
  </si>
  <si>
    <t xml:space="preserve">AUD012</t>
  </si>
  <si>
    <t xml:space="preserve">AUD013</t>
  </si>
  <si>
    <t xml:space="preserve">AUD014</t>
  </si>
  <si>
    <t xml:space="preserve">AUD015</t>
  </si>
  <si>
    <t xml:space="preserve">AUD016</t>
  </si>
  <si>
    <t xml:space="preserve">Pumps being striped,other all good</t>
  </si>
  <si>
    <t xml:space="preserve">AUD017</t>
  </si>
  <si>
    <t xml:space="preserve">AUD018</t>
  </si>
  <si>
    <t xml:space="preserve">AUD019</t>
  </si>
  <si>
    <t xml:space="preserve">HOUSKEEPING NOT TO BAD</t>
  </si>
  <si>
    <t xml:space="preserve">AUD020</t>
  </si>
  <si>
    <t xml:space="preserve">AUD021</t>
  </si>
  <si>
    <t xml:space="preserve">ROBOT ROOM</t>
  </si>
  <si>
    <t xml:space="preserve">AUD022</t>
  </si>
  <si>
    <t xml:space="preserve">I. POTGIETER</t>
  </si>
  <si>
    <t xml:space="preserve">NCR014 raised — visual defect/contamination check not recorded (8.5.1)</t>
  </si>
  <si>
    <t xml:space="preserve">YES</t>
  </si>
  <si>
    <t xml:space="preserve">AUD023</t>
  </si>
  <si>
    <t xml:space="preserve">GRID BLASTING</t>
  </si>
  <si>
    <t xml:space="preserve">NCR015 &amp; NCR016 raised — gauge calibration records; MRB not defined (7.1.5, 8.7)</t>
  </si>
  <si>
    <t xml:space="preserve">AUD024</t>
  </si>
  <si>
    <t xml:space="preserve">NCR017 raised — refresher training not evidenced (7.2/10.3)</t>
  </si>
  <si>
    <t xml:space="preserve">AUD025</t>
  </si>
  <si>
    <t xml:space="preserve">NCR018 &amp; NCR019 raised — MRB not defined; NCRs not documented (8.7/10.2)</t>
  </si>
  <si>
    <t xml:space="preserve">AUD026</t>
  </si>
  <si>
    <t xml:space="preserve">QUALITY MANAGEMENT</t>
  </si>
  <si>
    <t xml:space="preserve">NCR020 raised — no standardised audit scoring system (9.2.2)</t>
  </si>
  <si>
    <t xml:space="preserve">AUD027</t>
  </si>
  <si>
    <t xml:space="preserve">Doc No</t>
  </si>
  <si>
    <t xml:space="preserve">Title</t>
  </si>
  <si>
    <t xml:space="preserve">Rev</t>
  </si>
  <si>
    <t xml:space="preserve">Issue Date</t>
  </si>
  <si>
    <t xml:space="preserve">Next Review</t>
  </si>
  <si>
    <t xml:space="preserve">QMS-001</t>
  </si>
  <si>
    <t xml:space="preserve">Quality Manual</t>
  </si>
  <si>
    <t xml:space="preserve">Engineering Manager</t>
  </si>
  <si>
    <t xml:space="preserve">Active</t>
  </si>
  <si>
    <t xml:space="preserve">OQP-01</t>
  </si>
  <si>
    <t xml:space="preserve">SCOPE/OBJECTIVES</t>
  </si>
  <si>
    <t xml:space="preserve">OQP-02</t>
  </si>
  <si>
    <t xml:space="preserve">REFERENCE</t>
  </si>
  <si>
    <t xml:space="preserve">OQP-03</t>
  </si>
  <si>
    <t xml:space="preserve">TERMS AND ABBREVIATIONS</t>
  </si>
  <si>
    <t xml:space="preserve">OQP-04</t>
  </si>
  <si>
    <t xml:space="preserve">CONTEXT OF THE ORGANISATION</t>
  </si>
  <si>
    <t xml:space="preserve">OQP-05</t>
  </si>
  <si>
    <t xml:space="preserve">LEADERSHIP</t>
  </si>
  <si>
    <t xml:space="preserve">OQP-06</t>
  </si>
  <si>
    <t xml:space="preserve">PLANNING</t>
  </si>
  <si>
    <t xml:space="preserve">OQP-07</t>
  </si>
  <si>
    <t xml:space="preserve">SUPPORT/RESOURCES</t>
  </si>
  <si>
    <t xml:space="preserve">OQP-08</t>
  </si>
  <si>
    <t xml:space="preserve">OPERATIONS</t>
  </si>
  <si>
    <t xml:space="preserve">OQP-09</t>
  </si>
  <si>
    <t xml:space="preserve">PERFORMANCE EVALUATIONS</t>
  </si>
  <si>
    <t xml:space="preserve">OQP-10</t>
  </si>
  <si>
    <t xml:space="preserve">IMPROVEMENT</t>
  </si>
  <si>
    <t xml:space="preserve">QPM-01</t>
  </si>
  <si>
    <t xml:space="preserve">Aklin Carbide (pty)ltd</t>
  </si>
  <si>
    <t xml:space="preserve">ATT NO-01</t>
  </si>
  <si>
    <t xml:space="preserve">document change request (DCR 01)</t>
  </si>
  <si>
    <t xml:space="preserve">ATT NO-02</t>
  </si>
  <si>
    <t xml:space="preserve">document change request register (DCR 02)</t>
  </si>
  <si>
    <t xml:space="preserve">ATT NO-03</t>
  </si>
  <si>
    <t xml:space="preserve">sample stamps</t>
  </si>
  <si>
    <t xml:space="preserve">ATT NO-04</t>
  </si>
  <si>
    <t xml:space="preserve">Buying requisition</t>
  </si>
  <si>
    <t xml:space="preserve">ATT NO-05</t>
  </si>
  <si>
    <t xml:space="preserve">PURCHASEORDER</t>
  </si>
  <si>
    <t xml:space="preserve">ATT NO-06</t>
  </si>
  <si>
    <t xml:space="preserve">SAMPLE LABELS</t>
  </si>
  <si>
    <t xml:space="preserve">ATT NO-07</t>
  </si>
  <si>
    <t xml:space="preserve">NON CONFORMANCE REPORT</t>
  </si>
  <si>
    <t xml:space="preserve">ATT NO-08</t>
  </si>
  <si>
    <t xml:space="preserve">CUSTOMER REQUIREMENT FORM</t>
  </si>
  <si>
    <t xml:space="preserve">ATT NO-09</t>
  </si>
  <si>
    <t xml:space="preserve">JOB CARD</t>
  </si>
  <si>
    <t xml:space="preserve">ATT NO-10</t>
  </si>
  <si>
    <t xml:space="preserve">QUALITY PLAN</t>
  </si>
  <si>
    <t xml:space="preserve">ATT NO-11</t>
  </si>
  <si>
    <t xml:space="preserve">DAILY TIME SHEET</t>
  </si>
  <si>
    <t xml:space="preserve">ATT NO-12</t>
  </si>
  <si>
    <t xml:space="preserve">DELIVERY NOTE</t>
  </si>
  <si>
    <t xml:space="preserve">ATT NO-13</t>
  </si>
  <si>
    <t xml:space="preserve">GOODS RECEIVING NOTE (GRN)</t>
  </si>
  <si>
    <t xml:space="preserve">ATT NO-14</t>
  </si>
  <si>
    <t xml:space="preserve">CALIBRATION CONTROL REGISTER</t>
  </si>
  <si>
    <t xml:space="preserve">ATT NO-15</t>
  </si>
  <si>
    <t xml:space="preserve">INTERNAL AUDIT SCHEDULE/REGISTER</t>
  </si>
  <si>
    <t xml:space="preserve">ATT NO-16</t>
  </si>
  <si>
    <t xml:space="preserve">SUPPLIERS COMPLIANCE EVALUATION</t>
  </si>
  <si>
    <t xml:space="preserve">ATT NO-17</t>
  </si>
  <si>
    <t xml:space="preserve">INTERNALAUDIT FINDINGS REPORT</t>
  </si>
  <si>
    <t xml:space="preserve">ATT NO-18</t>
  </si>
  <si>
    <t xml:space="preserve">INTERNAL AUDIT REPORT SHEET</t>
  </si>
  <si>
    <t xml:space="preserve">,,,,,,,,,,,,,,,,,,</t>
  </si>
  <si>
    <t xml:space="preserve">ATT NO-19</t>
  </si>
  <si>
    <t xml:space="preserve">AUDIT PLANNING SCHEDULE</t>
  </si>
  <si>
    <t xml:space="preserve">ATT NO-20</t>
  </si>
  <si>
    <t xml:space="preserve">SPRAY SAMPLE RECORD SHEET</t>
  </si>
  <si>
    <t xml:space="preserve">ATT NO-21</t>
  </si>
  <si>
    <t xml:space="preserve">CORRECTIVE ACTION REPORT</t>
  </si>
  <si>
    <t xml:space="preserve">ATT NO-22</t>
  </si>
  <si>
    <t xml:space="preserve">CUSTOMER COMPLAINT REPORT</t>
  </si>
  <si>
    <t xml:space="preserve">ATT NO-23</t>
  </si>
  <si>
    <t xml:space="preserve">STOCK JOB CARD</t>
  </si>
  <si>
    <t xml:space="preserve">ATT NO-24</t>
  </si>
  <si>
    <t xml:space="preserve">STORES RECEIVE NOTE</t>
  </si>
  <si>
    <t xml:space="preserve">ATT NO-25</t>
  </si>
  <si>
    <t xml:space="preserve">STORES REQUISITION</t>
  </si>
  <si>
    <t xml:space="preserve">ATT NO-26</t>
  </si>
  <si>
    <t xml:space="preserve">INTERNAL REWORK AND CORRECTIVE ACTION CARD</t>
  </si>
  <si>
    <t xml:space="preserve">ATT NO-27</t>
  </si>
  <si>
    <t xml:space="preserve">CUSTOMER SERVISE QUALITY</t>
  </si>
  <si>
    <t xml:space="preserve">ATT NO-28</t>
  </si>
  <si>
    <t xml:space="preserve">QUALITY QUESTIONNAIRE </t>
  </si>
  <si>
    <t xml:space="preserve">ATT NO-29</t>
  </si>
  <si>
    <t xml:space="preserve">SCHEDULED MAINTENANCE RECORD</t>
  </si>
  <si>
    <t xml:space="preserve">ATT NO-30</t>
  </si>
  <si>
    <t xml:space="preserve">EXTERNAL DOCUMENT REGISTER</t>
  </si>
  <si>
    <t xml:space="preserve">ATT NO-31</t>
  </si>
  <si>
    <t xml:space="preserve">TRAINING NEEDS ANALYSIS MATRIX</t>
  </si>
  <si>
    <t xml:space="preserve">ATT NO-32</t>
  </si>
  <si>
    <t xml:space="preserve">VENDOR AUDITCHECKLIST</t>
  </si>
  <si>
    <t xml:space="preserve">ATT NO-33</t>
  </si>
  <si>
    <t xml:space="preserve">VENDOR PERFORMANCE LOG</t>
  </si>
  <si>
    <t xml:space="preserve">ATT NO-34</t>
  </si>
  <si>
    <t xml:space="preserve">VENDOR LIST APPLICATION</t>
  </si>
  <si>
    <t xml:space="preserve">ATT NO-35</t>
  </si>
  <si>
    <t xml:space="preserve">ACCOUNT APPLICATION FORM</t>
  </si>
  <si>
    <t xml:space="preserve">ATT NO-36</t>
  </si>
  <si>
    <t xml:space="preserve">CREDIT REFERENCE INFORMATION REQUEST</t>
  </si>
  <si>
    <t xml:space="preserve">ATT NO-37 </t>
  </si>
  <si>
    <t xml:space="preserve">FILE CARD FOR STOCK</t>
  </si>
  <si>
    <t xml:space="preserve">ATT NO-38</t>
  </si>
  <si>
    <t xml:space="preserve">RECORD OF TRAINING-(INTERNAL)</t>
  </si>
  <si>
    <t xml:space="preserve">FC 001</t>
  </si>
  <si>
    <t xml:space="preserve">ARC SPRAY PROCESS</t>
  </si>
  <si>
    <t xml:space="preserve">FC002 </t>
  </si>
  <si>
    <t xml:space="preserve">PLASMA ARC SPRAY PROCESS</t>
  </si>
  <si>
    <t xml:space="preserve">FC003 </t>
  </si>
  <si>
    <t xml:space="preserve">ROCKIDE CERAMIC PROCESS</t>
  </si>
  <si>
    <t xml:space="preserve">FC 004</t>
  </si>
  <si>
    <t xml:space="preserve">HIGH VELOCITY PROCESS</t>
  </si>
  <si>
    <t xml:space="preserve">FC 005</t>
  </si>
  <si>
    <t xml:space="preserve">POLYURATHANE PROCESS</t>
  </si>
  <si>
    <t xml:space="preserve">FC 006</t>
  </si>
  <si>
    <t xml:space="preserve">MAIN ORGANISATION</t>
  </si>
  <si>
    <t xml:space="preserve">FC 007</t>
  </si>
  <si>
    <t xml:space="preserve">RECEIVING OF GOODS</t>
  </si>
  <si>
    <t xml:space="preserve">Employee</t>
  </si>
  <si>
    <t xml:space="preserve">ID NO</t>
  </si>
  <si>
    <t xml:space="preserve">Occupation</t>
  </si>
  <si>
    <t xml:space="preserve">Training Type</t>
  </si>
  <si>
    <t xml:space="preserve">Date Completed</t>
  </si>
  <si>
    <t xml:space="preserve">Next Due</t>
  </si>
  <si>
    <t xml:space="preserve">Remarks</t>
  </si>
  <si>
    <t xml:space="preserve">Wage no</t>
  </si>
  <si>
    <t xml:space="preserve">Training</t>
  </si>
  <si>
    <t xml:space="preserve">Date competed</t>
  </si>
  <si>
    <t xml:space="preserve">expiry date</t>
  </si>
  <si>
    <t xml:space="preserve">Aldrich Zurk</t>
  </si>
  <si>
    <t xml:space="preserve">fitter/turner</t>
  </si>
  <si>
    <t xml:space="preserve">trade cert</t>
  </si>
  <si>
    <t xml:space="preserve">Valid</t>
  </si>
  <si>
    <t xml:space="preserve">Compotent</t>
  </si>
  <si>
    <t xml:space="preserve">W819</t>
  </si>
  <si>
    <t xml:space="preserve">induction</t>
  </si>
  <si>
    <t xml:space="preserve">Alberts Tinus</t>
  </si>
  <si>
    <t xml:space="preserve">Pump manager</t>
  </si>
  <si>
    <t xml:space="preserve">RPM</t>
  </si>
  <si>
    <t xml:space="preserve">Breathaliser</t>
  </si>
  <si>
    <t xml:space="preserve">Bezuidenhout Chris</t>
  </si>
  <si>
    <t xml:space="preserve">fitters assistant</t>
  </si>
  <si>
    <t xml:space="preserve">none</t>
  </si>
  <si>
    <t xml:space="preserve">NYC</t>
  </si>
  <si>
    <t xml:space="preserve">W825</t>
  </si>
  <si>
    <t xml:space="preserve">basic slinging</t>
  </si>
  <si>
    <t xml:space="preserve">Bester Roedolf R</t>
  </si>
  <si>
    <t xml:space="preserve">Quality officer</t>
  </si>
  <si>
    <t xml:space="preserve">W713</t>
  </si>
  <si>
    <t xml:space="preserve">N/A</t>
  </si>
  <si>
    <t xml:space="preserve">O/H Crane 10t</t>
  </si>
  <si>
    <t xml:space="preserve">basic rigging</t>
  </si>
  <si>
    <t xml:space="preserve">Fistaid level1</t>
  </si>
  <si>
    <t xml:space="preserve">Forklift 3t</t>
  </si>
  <si>
    <t xml:space="preserve">Badenhorst Theuns</t>
  </si>
  <si>
    <t xml:space="preserve">Boringmill opperator</t>
  </si>
  <si>
    <t xml:space="preserve">Senior cert</t>
  </si>
  <si>
    <t xml:space="preserve">valid</t>
  </si>
  <si>
    <t xml:space="preserve">compotent</t>
  </si>
  <si>
    <t xml:space="preserve">W737</t>
  </si>
  <si>
    <t xml:space="preserve">Brown Clerence</t>
  </si>
  <si>
    <t xml:space="preserve">Workshop assistant</t>
  </si>
  <si>
    <t xml:space="preserve">senior cert</t>
  </si>
  <si>
    <t xml:space="preserve">W732</t>
  </si>
  <si>
    <t xml:space="preserve">first aid l1</t>
  </si>
  <si>
    <t xml:space="preserve">turner</t>
  </si>
  <si>
    <t xml:space="preserve">national cert</t>
  </si>
  <si>
    <t xml:space="preserve">basic fire fighting</t>
  </si>
  <si>
    <t xml:space="preserve">Bottoman Wonderful</t>
  </si>
  <si>
    <t xml:space="preserve">GR 10</t>
  </si>
  <si>
    <t xml:space="preserve">W793</t>
  </si>
  <si>
    <t xml:space="preserve">Brown Brian</t>
  </si>
  <si>
    <t xml:space="preserve">Cylindrical grinder</t>
  </si>
  <si>
    <t xml:space="preserve">W718</t>
  </si>
  <si>
    <t xml:space="preserve">Chauke Aron</t>
  </si>
  <si>
    <t xml:space="preserve">Fettler/grinder</t>
  </si>
  <si>
    <t xml:space="preserve">W706</t>
  </si>
  <si>
    <t xml:space="preserve">Chevure Leviticus</t>
  </si>
  <si>
    <t xml:space="preserve">Ae609634</t>
  </si>
  <si>
    <t xml:space="preserve">Cnc machinist</t>
  </si>
  <si>
    <t xml:space="preserve">cert</t>
  </si>
  <si>
    <t xml:space="preserve">W823</t>
  </si>
  <si>
    <t xml:space="preserve">cnc training</t>
  </si>
  <si>
    <t xml:space="preserve">Drotsky Jacques </t>
  </si>
  <si>
    <t xml:space="preserve">Workshop manager</t>
  </si>
  <si>
    <t xml:space="preserve">S951</t>
  </si>
  <si>
    <t xml:space="preserve">PT-NDT l2</t>
  </si>
  <si>
    <t xml:space="preserve">QMS imp</t>
  </si>
  <si>
    <t xml:space="preserve">Int aud</t>
  </si>
  <si>
    <t xml:space="preserve">Iso transition</t>
  </si>
  <si>
    <t xml:space="preserve">Risk management</t>
  </si>
  <si>
    <t xml:space="preserve">Comp cert (w man)</t>
  </si>
  <si>
    <t xml:space="preserve">Dhlamini Lucky </t>
  </si>
  <si>
    <t xml:space="preserve">Metal sprayer</t>
  </si>
  <si>
    <t xml:space="preserve">senior sert</t>
  </si>
  <si>
    <t xml:space="preserve">W810</t>
  </si>
  <si>
    <t xml:space="preserve">plasma spray</t>
  </si>
  <si>
    <t xml:space="preserve">Gericke Tessa</t>
  </si>
  <si>
    <t xml:space="preserve">Receptionist</t>
  </si>
  <si>
    <t xml:space="preserve">Gr11</t>
  </si>
  <si>
    <t xml:space="preserve">Gundwana Innocent</t>
  </si>
  <si>
    <t xml:space="preserve">cylindrical grinder</t>
  </si>
  <si>
    <t xml:space="preserve">NYC </t>
  </si>
  <si>
    <t xml:space="preserve">W826</t>
  </si>
  <si>
    <t xml:space="preserve">Gwatirera Amos</t>
  </si>
  <si>
    <t xml:space="preserve">Fitter</t>
  </si>
  <si>
    <t xml:space="preserve">W704</t>
  </si>
  <si>
    <t xml:space="preserve">Hansmeyer Michael</t>
  </si>
  <si>
    <t xml:space="preserve">Turner</t>
  </si>
  <si>
    <t xml:space="preserve">W795</t>
  </si>
  <si>
    <t xml:space="preserve">CNC miller</t>
  </si>
  <si>
    <t xml:space="preserve">Kordom Lee-Roy</t>
  </si>
  <si>
    <t xml:space="preserve">Maintanance</t>
  </si>
  <si>
    <t xml:space="preserve">W830</t>
  </si>
  <si>
    <t xml:space="preserve">first aid L1</t>
  </si>
  <si>
    <t xml:space="preserve">Kosze Clifford</t>
  </si>
  <si>
    <t xml:space="preserve">QC inspector</t>
  </si>
  <si>
    <t xml:space="preserve">W720</t>
  </si>
  <si>
    <t xml:space="preserve">Lefalakane Justice</t>
  </si>
  <si>
    <t xml:space="preserve">W818</t>
  </si>
  <si>
    <t xml:space="preserve">polly </t>
  </si>
  <si>
    <t xml:space="preserve">jetcote</t>
  </si>
  <si>
    <t xml:space="preserve">fire fighting</t>
  </si>
  <si>
    <t xml:space="preserve">fanuc robot training</t>
  </si>
  <si>
    <t xml:space="preserve">Mbele Hector</t>
  </si>
  <si>
    <t xml:space="preserve">machine opperator</t>
  </si>
  <si>
    <t xml:space="preserve">W768</t>
  </si>
  <si>
    <t xml:space="preserve">bertical boring mill</t>
  </si>
  <si>
    <t xml:space="preserve">Mtshiki Ernest</t>
  </si>
  <si>
    <t xml:space="preserve">Lathe opperator</t>
  </si>
  <si>
    <t xml:space="preserve">gr11</t>
  </si>
  <si>
    <t xml:space="preserve">W798</t>
  </si>
  <si>
    <t xml:space="preserve">Mofokeng Richard</t>
  </si>
  <si>
    <t xml:space="preserve">Pump fitter</t>
  </si>
  <si>
    <t xml:space="preserve">W827</t>
  </si>
  <si>
    <t xml:space="preserve">Basic slinging</t>
  </si>
  <si>
    <t xml:space="preserve">Mokoena Jan</t>
  </si>
  <si>
    <t xml:space="preserve">Grit blaster</t>
  </si>
  <si>
    <t xml:space="preserve">W738</t>
  </si>
  <si>
    <t xml:space="preserve">Mboto Vukile</t>
  </si>
  <si>
    <t xml:space="preserve">QC inspectopr</t>
  </si>
  <si>
    <t xml:space="preserve">W785</t>
  </si>
  <si>
    <t xml:space="preserve">Minaar Hartly</t>
  </si>
  <si>
    <t xml:space="preserve">polly opperator</t>
  </si>
  <si>
    <t xml:space="preserve">gr10</t>
  </si>
  <si>
    <t xml:space="preserve">W822</t>
  </si>
  <si>
    <t xml:space="preserve">O/H crane</t>
  </si>
  <si>
    <t xml:space="preserve">forklift</t>
  </si>
  <si>
    <t xml:space="preserve">slinging</t>
  </si>
  <si>
    <t xml:space="preserve">Mofokeng Jonas</t>
  </si>
  <si>
    <t xml:space="preserve">W824</t>
  </si>
  <si>
    <t xml:space="preserve">Makgarietse Cline</t>
  </si>
  <si>
    <t xml:space="preserve">Spray room operator</t>
  </si>
  <si>
    <t xml:space="preserve">W820</t>
  </si>
  <si>
    <t xml:space="preserve">grit blast</t>
  </si>
  <si>
    <t xml:space="preserve">fire fighter</t>
  </si>
  <si>
    <t xml:space="preserve">basic sling/rigging</t>
  </si>
  <si>
    <t xml:space="preserve">Mothupi Benjamin</t>
  </si>
  <si>
    <t xml:space="preserve">Driver</t>
  </si>
  <si>
    <t xml:space="preserve">W764</t>
  </si>
  <si>
    <t xml:space="preserve"> Mabaso Elizabeth</t>
  </si>
  <si>
    <t xml:space="preserve">Cleaner</t>
  </si>
  <si>
    <t xml:space="preserve">W778</t>
  </si>
  <si>
    <t xml:space="preserve">Mapeka Isaac</t>
  </si>
  <si>
    <t xml:space="preserve">Painter/sprayer</t>
  </si>
  <si>
    <t xml:space="preserve">W782</t>
  </si>
  <si>
    <t xml:space="preserve">Mboto Ellias</t>
  </si>
  <si>
    <t xml:space="preserve">W791</t>
  </si>
  <si>
    <t xml:space="preserve">Mbele Paulos</t>
  </si>
  <si>
    <t xml:space="preserve">Welder</t>
  </si>
  <si>
    <t xml:space="preserve">W817</t>
  </si>
  <si>
    <t xml:space="preserve">welder assist</t>
  </si>
  <si>
    <t xml:space="preserve">Mohlala Lucas</t>
  </si>
  <si>
    <t xml:space="preserve">Aklin security</t>
  </si>
  <si>
    <t xml:space="preserve">W772</t>
  </si>
  <si>
    <t xml:space="preserve">security cert gr E</t>
  </si>
  <si>
    <t xml:space="preserve">Security cert gr D</t>
  </si>
  <si>
    <t xml:space="preserve">Security cert gr C</t>
  </si>
  <si>
    <t xml:space="preserve">handgun</t>
  </si>
  <si>
    <t xml:space="preserve">shotgun</t>
  </si>
  <si>
    <t xml:space="preserve">Makgoga Sam</t>
  </si>
  <si>
    <t xml:space="preserve">Buyer</t>
  </si>
  <si>
    <t xml:space="preserve">affidavit</t>
  </si>
  <si>
    <t xml:space="preserve">S997</t>
  </si>
  <si>
    <t xml:space="preserve">Mkhwanazi Sheila</t>
  </si>
  <si>
    <t xml:space="preserve">W711</t>
  </si>
  <si>
    <t xml:space="preserve">Mkhwanazi Charity</t>
  </si>
  <si>
    <t xml:space="preserve">Sprayer</t>
  </si>
  <si>
    <t xml:space="preserve">W727</t>
  </si>
  <si>
    <t xml:space="preserve">Mqomboti Mzoxolo</t>
  </si>
  <si>
    <t xml:space="preserve">Gritblast</t>
  </si>
  <si>
    <t xml:space="preserve">W736</t>
  </si>
  <si>
    <t xml:space="preserve">Magane John</t>
  </si>
  <si>
    <t xml:space="preserve">Machine operator</t>
  </si>
  <si>
    <t xml:space="preserve">W724</t>
  </si>
  <si>
    <t xml:space="preserve">Trade cert turner</t>
  </si>
  <si>
    <t xml:space="preserve">Mohanoa Pertus</t>
  </si>
  <si>
    <t xml:space="preserve">Crane operator</t>
  </si>
  <si>
    <t xml:space="preserve">W808</t>
  </si>
  <si>
    <t xml:space="preserve">crane opperator</t>
  </si>
  <si>
    <t xml:space="preserve">Mpore Kenny</t>
  </si>
  <si>
    <t xml:space="preserve">Store man</t>
  </si>
  <si>
    <t xml:space="preserve">W809</t>
  </si>
  <si>
    <t xml:space="preserve">Nkala Abel</t>
  </si>
  <si>
    <t xml:space="preserve">W725</t>
  </si>
  <si>
    <t xml:space="preserve">Fitter/turner trade cert</t>
  </si>
  <si>
    <t xml:space="preserve">Ndinginya Matthews</t>
  </si>
  <si>
    <t xml:space="preserve">Gr9</t>
  </si>
  <si>
    <t xml:space="preserve">W786</t>
  </si>
  <si>
    <t xml:space="preserve">Nhlapo Amos</t>
  </si>
  <si>
    <t xml:space="preserve">W806</t>
  </si>
  <si>
    <t xml:space="preserve">Nanyane Job</t>
  </si>
  <si>
    <t xml:space="preserve">W812</t>
  </si>
  <si>
    <t xml:space="preserve">Petterson Marvalous </t>
  </si>
  <si>
    <t xml:space="preserve">W815</t>
  </si>
  <si>
    <t xml:space="preserve">Peters Trevor</t>
  </si>
  <si>
    <t xml:space="preserve">CNC operator</t>
  </si>
  <si>
    <t xml:space="preserve">W794</t>
  </si>
  <si>
    <t xml:space="preserve">Ratau Khomotso</t>
  </si>
  <si>
    <t xml:space="preserve">W801</t>
  </si>
  <si>
    <t xml:space="preserve">Rafolatsane Nicolers</t>
  </si>
  <si>
    <t xml:space="preserve">W731</t>
  </si>
  <si>
    <t xml:space="preserve">Stewart Mark</t>
  </si>
  <si>
    <t xml:space="preserve">Financial director</t>
  </si>
  <si>
    <t xml:space="preserve">Swanepoel Quentin</t>
  </si>
  <si>
    <t xml:space="preserve">W761</t>
  </si>
  <si>
    <t xml:space="preserve">firstaid level1</t>
  </si>
  <si>
    <t xml:space="preserve">Slinging</t>
  </si>
  <si>
    <t xml:space="preserve">Sonyangwe Dumo</t>
  </si>
  <si>
    <t xml:space="preserve">W741</t>
  </si>
  <si>
    <t xml:space="preserve">welder COC</t>
  </si>
  <si>
    <t xml:space="preserve">Sibiya Vusi</t>
  </si>
  <si>
    <t xml:space="preserve">W811</t>
  </si>
  <si>
    <t xml:space="preserve">crane operator</t>
  </si>
  <si>
    <t xml:space="preserve">Sithole Daniel</t>
  </si>
  <si>
    <t xml:space="preserve">W715</t>
  </si>
  <si>
    <t xml:space="preserve">Tsotsetsi Happyness</t>
  </si>
  <si>
    <t xml:space="preserve">W734</t>
  </si>
  <si>
    <t xml:space="preserve">Vermeulen Evert</t>
  </si>
  <si>
    <t xml:space="preserve">Rep</t>
  </si>
  <si>
    <t xml:space="preserve">Monique Hammond</t>
  </si>
  <si>
    <t xml:space="preserve">Factory admin</t>
  </si>
  <si>
    <t xml:space="preserve">S965</t>
  </si>
  <si>
    <t xml:space="preserve">Firt aid level1</t>
  </si>
  <si>
    <t xml:space="preserve">Supplier</t>
  </si>
  <si>
    <t xml:space="preserve">Scope</t>
  </si>
  <si>
    <t xml:space="preserve">Score</t>
  </si>
  <si>
    <t xml:space="preserve">Band</t>
  </si>
  <si>
    <t xml:space="preserve">Approval Status</t>
  </si>
  <si>
    <t xml:space="preserve">Last Review</t>
  </si>
  <si>
    <t xml:space="preserve">Castings - Foundry</t>
  </si>
  <si>
    <t xml:space="preserve">Compenent</t>
  </si>
  <si>
    <t xml:space="preserve">Approved</t>
  </si>
  <si>
    <t xml:space="preserve">Air products</t>
  </si>
  <si>
    <t xml:space="preserve">Bulk gas/cylinders</t>
  </si>
  <si>
    <t xml:space="preserve">Mechanical spares</t>
  </si>
  <si>
    <t xml:space="preserve">presision eng. Shafts/sleeves/nuts</t>
  </si>
  <si>
    <t xml:space="preserve">BRG technical services</t>
  </si>
  <si>
    <t xml:space="preserve">Ballancing</t>
  </si>
  <si>
    <t xml:space="preserve">Selepe bearings</t>
  </si>
  <si>
    <t xml:space="preserve">Bearings/seals/Nuts</t>
  </si>
  <si>
    <t xml:space="preserve">Midvaal tooling</t>
  </si>
  <si>
    <t xml:space="preserve">taps/drills/inserts/tools</t>
  </si>
  <si>
    <t xml:space="preserve">Emmanuel</t>
  </si>
  <si>
    <t xml:space="preserve">ndt,exrays,dypenn,Ut tests</t>
  </si>
  <si>
    <t xml:space="preserve">Hot pot paints</t>
  </si>
  <si>
    <t xml:space="preserve">paint,bruches,Rollers</t>
  </si>
  <si>
    <t xml:space="preserve">Sealtec hydraulics</t>
  </si>
  <si>
    <t xml:space="preserve">o-rings </t>
  </si>
  <si>
    <t xml:space="preserve">Weartech</t>
  </si>
  <si>
    <t xml:space="preserve">Wires </t>
  </si>
  <si>
    <t xml:space="preserve">Ver bolt</t>
  </si>
  <si>
    <t xml:space="preserve">bolt and nuts</t>
  </si>
  <si>
    <t xml:space="preserve">Century electrical</t>
  </si>
  <si>
    <t xml:space="preserve">safety</t>
  </si>
  <si>
    <t xml:space="preserve">G M Technical </t>
  </si>
  <si>
    <t xml:space="preserve">Cranes,slings,sighns</t>
  </si>
  <si>
    <t xml:space="preserve">Super sonic auto rep</t>
  </si>
  <si>
    <t xml:space="preserve">Vehecles repairs and services</t>
  </si>
  <si>
    <t xml:space="preserve">Topic</t>
  </si>
  <si>
    <t xml:space="preserve">Source Sheet</t>
  </si>
  <si>
    <t xml:space="preserve">Auto-Value</t>
  </si>
  <si>
    <t xml:space="preserve">Notes</t>
  </si>
  <si>
    <t xml:space="preserve">Customer complaints</t>
  </si>
  <si>
    <t xml:space="preserve">NCR_Log</t>
  </si>
  <si>
    <t xml:space="preserve">Auto-summary in Stage 2</t>
  </si>
  <si>
    <t xml:space="preserve">Internal audit results</t>
  </si>
  <si>
    <t xml:space="preserve">Internal_Audits</t>
  </si>
  <si>
    <t xml:space="preserve">CAPA status</t>
  </si>
  <si>
    <t xml:space="preserve">CAPA</t>
  </si>
  <si>
    <t xml:space="preserve">Supplier performance</t>
  </si>
  <si>
    <t xml:space="preserve">Supplier_Eval</t>
  </si>
  <si>
    <t xml:space="preserve">Training status</t>
  </si>
  <si>
    <t xml:space="preserve">Risk profile</t>
  </si>
  <si>
    <t xml:space="preserve">Risk_Register</t>
  </si>
  <si>
    <t xml:space="preserve">Inputs</t>
  </si>
  <si>
    <t xml:space="preserve">Outputs</t>
  </si>
  <si>
    <t xml:space="preserve">Upstream</t>
  </si>
  <si>
    <t xml:space="preserve">Downstream</t>
  </si>
  <si>
    <t xml:space="preserve">Sales &amp; Customer Engagement</t>
  </si>
  <si>
    <t xml:space="preserve">Production / Operations</t>
  </si>
  <si>
    <t xml:space="preserve">Design &amp; Engineering</t>
  </si>
  <si>
    <t xml:space="preserve">Ops Manager</t>
  </si>
  <si>
    <t xml:space="preserve">Procurement</t>
  </si>
  <si>
    <t xml:space="preserve">Projects Manager</t>
  </si>
  <si>
    <t xml:space="preserve">Quality Control / Inspection</t>
  </si>
  <si>
    <t xml:space="preserve">Logistics / Delivery</t>
  </si>
  <si>
    <t xml:space="preserve">Customer</t>
  </si>
  <si>
    <t xml:space="preserve">Support Services</t>
  </si>
  <si>
    <t xml:space="preserve">All Processes</t>
  </si>
  <si>
    <t xml:space="preserve">Management &amp; Leadership</t>
  </si>
  <si>
    <t xml:space="preserve">Improvement</t>
  </si>
  <si>
    <t xml:space="preserve">Count</t>
  </si>
  <si>
    <t xml:space="preserve">Overdue</t>
  </si>
  <si>
    <t xml:space="preserve">Expired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</si>
</sst>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m/d/yyyy"/>
    <numFmt numFmtId="167" formatCode="#,##0"/>
    <numFmt numFmtId="168" formatCode="d\-mmm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4"/>
      <color theme="1"/>
      <name val="Calibri"/>
      <family val="2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0000"/>
        <bgColor rgb="FFC000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b val="1"/>
        <color rgb="FFFFFFFF"/>
      </font>
      <fill>
        <patternFill>
          <bgColor rgb="FF70AD47"/>
        </patternFill>
      </fill>
    </dxf>
    <dxf>
      <font>
        <b val="1"/>
        <color rgb="FFFFFFFF"/>
      </font>
      <fill>
        <patternFill>
          <bgColor rgb="FFC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4F81BD"/>
      <rgbColor rgb="FFB8CD97"/>
      <rgbColor rgb="FF878787"/>
      <rgbColor rgb="FF93A9CE"/>
      <rgbColor rgb="FFAB4744"/>
      <rgbColor rgb="FFFFFFCC"/>
      <rgbColor rgb="FFCCFFFF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D09493"/>
      <rgbColor rgb="FFCC99FF"/>
      <rgbColor rgb="FFFFCC99"/>
      <rgbColor rgb="FF4672A8"/>
      <rgbColor rgb="FF33CCCC"/>
      <rgbColor rgb="FF70AD47"/>
      <rgbColor rgb="FFFFCC00"/>
      <rgbColor rgb="FFFF9900"/>
      <rgbColor rgb="FFFF6600"/>
      <rgbColor rgb="FF725990"/>
      <rgbColor rgb="FF8AA64F"/>
      <rgbColor rgb="FF003366"/>
      <rgbColor rgb="FF4299B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n-US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lang="en-US" sz="1800" spc="-1" strike="noStrike">
                <a:solidFill>
                  <a:srgbClr val="000000"/>
                </a:solidFill>
                <a:latin typeface="Calibri"/>
              </a:rPr>
              <a:t>CAPA Status Overview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"CAPA Status"</c:f>
              <c:strCache>
                <c:ptCount val="1"/>
                <c:pt idx="0">
                  <c:v>CAPA Status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CAPA_Summary!$A$2:$A$10</c:f>
              <c:strCache>
                <c:ptCount val="9"/>
                <c:pt idx="0">
                  <c:v>Open</c:v>
                </c:pt>
                <c:pt idx="1">
                  <c:v>Closed</c:v>
                </c:pt>
                <c:pt idx="2">
                  <c:v>Overdue</c:v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</c:strCache>
            </c:strRef>
          </c:cat>
          <c:val>
            <c:numRef>
              <c:f>CAPA_Summary!$B$2:$B$10</c:f>
              <c:numCache>
                <c:formatCode>General</c:formatCode>
                <c:ptCount val="9"/>
                <c:pt idx="0">
                  <c:v>8</c:v>
                </c:pt>
                <c:pt idx="1">
                  <c:v>12</c:v>
                </c:pt>
                <c:pt idx="2">
                  <c:v>0</c:v>
                </c:pt>
              </c:numCache>
            </c:numRef>
          </c:val>
        </c:ser>
        <c:gapWidth val="150"/>
        <c:overlap val="0"/>
        <c:axId val="58084765"/>
        <c:axId val="82736929"/>
      </c:barChart>
      <c:catAx>
        <c:axId val="58084765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736929"/>
        <c:crosses val="autoZero"/>
        <c:auto val="1"/>
        <c:lblAlgn val="ctr"/>
        <c:lblOffset val="100"/>
        <c:noMultiLvlLbl val="0"/>
      </c:catAx>
      <c:valAx>
        <c:axId val="8273692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08476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n-US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lang="en-US" sz="1800" spc="-1" strike="noStrike">
                <a:solidFill>
                  <a:srgbClr val="000000"/>
                </a:solidFill>
                <a:latin typeface="Calibri"/>
              </a:rPr>
              <a:t>NCR Status Overview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"NCR Status"</c:f>
              <c:strCache>
                <c:ptCount val="1"/>
                <c:pt idx="0">
                  <c:v>NCR Status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NCR_Summary!$A$2:$A$10</c:f>
              <c:strCache>
                <c:ptCount val="9"/>
                <c:pt idx="0">
                  <c:v>Open</c:v>
                </c:pt>
                <c:pt idx="1">
                  <c:v>Under Review</c:v>
                </c:pt>
                <c:pt idx="2">
                  <c:v>Closed</c:v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</c:strCache>
            </c:strRef>
          </c:cat>
          <c:val>
            <c:numRef>
              <c:f>NCR_Summary!$B$2:$B$10</c:f>
              <c:numCache>
                <c:formatCode>General</c:formatCode>
                <c:ptCount val="9"/>
                <c:pt idx="0">
                  <c:v>7</c:v>
                </c:pt>
                <c:pt idx="1">
                  <c:v>1</c:v>
                </c:pt>
                <c:pt idx="2">
                  <c:v>12</c:v>
                </c:pt>
              </c:numCache>
            </c:numRef>
          </c:val>
        </c:ser>
        <c:gapWidth val="150"/>
        <c:overlap val="0"/>
        <c:axId val="19608006"/>
        <c:axId val="584908"/>
      </c:barChart>
      <c:catAx>
        <c:axId val="1960800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4908"/>
        <c:crosses val="autoZero"/>
        <c:auto val="1"/>
        <c:lblAlgn val="ctr"/>
        <c:lblOffset val="100"/>
        <c:noMultiLvlLbl val="0"/>
      </c:catAx>
      <c:valAx>
        <c:axId val="58490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60800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n-US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lang="en-US" sz="1800" spc="-1" strike="noStrike">
                <a:solidFill>
                  <a:srgbClr val="000000"/>
                </a:solidFill>
                <a:latin typeface="Calibri"/>
              </a:rPr>
              <a:t>Risk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"Risk Score by Process"</c:f>
              <c:strCache>
                <c:ptCount val="1"/>
                <c:pt idx="0">
                  <c:v>Risk Score by Process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Risk_by_Process!$A$2:$A$20</c:f>
              <c:strCache>
                <c:ptCount val="19"/>
                <c:pt idx="0">
                  <c:v>Design &amp; Engineering</c:v>
                </c:pt>
                <c:pt idx="1">
                  <c:v>Improvement</c:v>
                </c:pt>
                <c:pt idx="2">
                  <c:v>Logistics / Delivery</c:v>
                </c:pt>
                <c:pt idx="3">
                  <c:v>Management &amp; Leadership</c:v>
                </c:pt>
                <c:pt idx="4">
                  <c:v>Procurement</c:v>
                </c:pt>
                <c:pt idx="5">
                  <c:v>Production / Operations</c:v>
                </c:pt>
                <c:pt idx="6">
                  <c:v>Quality Control / Inspection</c:v>
                </c:pt>
                <c:pt idx="7">
                  <c:v>Sales &amp; Customer Engagement</c:v>
                </c:pt>
                <c:pt idx="8">
                  <c:v>Support Services</c:v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</c:strCache>
            </c:strRef>
          </c:cat>
          <c:val>
            <c:numRef>
              <c:f>Risk_by_Process!$B$2:$B$20</c:f>
              <c:numCache>
                <c:formatCode>General</c:formatCode>
                <c:ptCount val="19"/>
                <c:pt idx="0">
                  <c:v>74</c:v>
                </c:pt>
                <c:pt idx="1">
                  <c:v>50</c:v>
                </c:pt>
                <c:pt idx="2">
                  <c:v>28</c:v>
                </c:pt>
                <c:pt idx="3">
                  <c:v>118</c:v>
                </c:pt>
                <c:pt idx="4">
                  <c:v>102</c:v>
                </c:pt>
                <c:pt idx="5">
                  <c:v>93</c:v>
                </c:pt>
                <c:pt idx="6">
                  <c:v>85</c:v>
                </c:pt>
                <c:pt idx="7">
                  <c:v>94</c:v>
                </c:pt>
                <c:pt idx="8">
                  <c:v>89</c:v>
                </c:pt>
              </c:numCache>
            </c:numRef>
          </c:val>
        </c:ser>
        <c:gapWidth val="150"/>
        <c:overlap val="0"/>
        <c:axId val="27364701"/>
        <c:axId val="94003817"/>
      </c:barChart>
      <c:catAx>
        <c:axId val="2736470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003817"/>
        <c:crosses val="autoZero"/>
        <c:auto val="1"/>
        <c:lblAlgn val="ctr"/>
        <c:lblOffset val="100"/>
        <c:noMultiLvlLbl val="0"/>
      </c:catAx>
      <c:valAx>
        <c:axId val="9400381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36470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n-US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lang="en-US" sz="1800" spc="-1" strike="noStrike">
                <a:solidFill>
                  <a:srgbClr val="000000"/>
                </a:solidFill>
                <a:latin typeface="Calibri"/>
              </a:rPr>
              <a:t>Training Valid vs Expired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"Training Status"</c:f>
              <c:strCache>
                <c:ptCount val="1"/>
                <c:pt idx="0">
                  <c:v>Training Status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672a8"/>
              </a:solidFill>
              <a:ln w="0">
                <a:noFill/>
              </a:ln>
            </c:spPr>
          </c:dPt>
          <c:dPt>
            <c:idx val="1"/>
            <c:spPr>
              <a:solidFill>
                <a:srgbClr val="ab4744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aa64f"/>
              </a:solidFill>
              <a:ln w="0">
                <a:noFill/>
              </a:ln>
            </c:spPr>
          </c:dPt>
          <c:dPt>
            <c:idx val="3"/>
            <c:spPr>
              <a:solidFill>
                <a:srgbClr val="72599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299b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dc853e"/>
              </a:solidFill>
              <a:ln w="0">
                <a:noFill/>
              </a:ln>
            </c:spPr>
          </c:dPt>
          <c:dPt>
            <c:idx val="6"/>
            <c:spPr>
              <a:solidFill>
                <a:srgbClr val="93a9ce"/>
              </a:solidFill>
              <a:ln w="0">
                <a:noFill/>
              </a:ln>
            </c:spPr>
          </c:dPt>
          <c:dPt>
            <c:idx val="7"/>
            <c:spPr>
              <a:solidFill>
                <a:srgbClr val="d09493"/>
              </a:solidFill>
              <a:ln w="0">
                <a:noFill/>
              </a:ln>
            </c:spPr>
          </c:dPt>
          <c:dPt>
            <c:idx val="8"/>
            <c:spPr>
              <a:solidFill>
                <a:srgbClr val="b8cd97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</c:dLbls>
          <c:cat>
            <c:strRef>
              <c:f>Training_Summary!$A$2:$A$10</c:f>
              <c:strCache>
                <c:ptCount val="9"/>
                <c:pt idx="0">
                  <c:v>Valid</c:v>
                </c:pt>
                <c:pt idx="1">
                  <c:v>Expired</c:v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</c:strCache>
            </c:strRef>
          </c:cat>
          <c:val>
            <c:numRef>
              <c:f>Training_Summary!$B$2:$B$10</c:f>
              <c:numCache>
                <c:formatCode>General</c:formatCode>
                <c:ptCount val="9"/>
                <c:pt idx="0">
                  <c:v>46</c:v>
                </c:pt>
                <c:pt idx="1">
                  <c:v>14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5</xdr:row>
      <xdr:rowOff>0</xdr:rowOff>
    </xdr:from>
    <xdr:to>
      <xdr:col>10</xdr:col>
      <xdr:colOff>304560</xdr:colOff>
      <xdr:row>19</xdr:row>
      <xdr:rowOff>75960</xdr:rowOff>
    </xdr:to>
    <xdr:graphicFrame>
      <xdr:nvGraphicFramePr>
        <xdr:cNvPr id="0" name="Chart 1"/>
        <xdr:cNvGraphicFramePr/>
      </xdr:nvGraphicFramePr>
      <xdr:xfrm>
        <a:off x="2468160" y="952560"/>
        <a:ext cx="5539680" cy="2847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0</xdr:colOff>
      <xdr:row>19</xdr:row>
      <xdr:rowOff>0</xdr:rowOff>
    </xdr:from>
    <xdr:to>
      <xdr:col>10</xdr:col>
      <xdr:colOff>304560</xdr:colOff>
      <xdr:row>33</xdr:row>
      <xdr:rowOff>75960</xdr:rowOff>
    </xdr:to>
    <xdr:graphicFrame>
      <xdr:nvGraphicFramePr>
        <xdr:cNvPr id="1" name="Chart 2"/>
        <xdr:cNvGraphicFramePr/>
      </xdr:nvGraphicFramePr>
      <xdr:xfrm>
        <a:off x="2468160" y="3724200"/>
        <a:ext cx="5539680" cy="260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10</xdr:col>
      <xdr:colOff>343080</xdr:colOff>
      <xdr:row>5</xdr:row>
      <xdr:rowOff>19080</xdr:rowOff>
    </xdr:from>
    <xdr:to>
      <xdr:col>18</xdr:col>
      <xdr:colOff>37800</xdr:colOff>
      <xdr:row>19</xdr:row>
      <xdr:rowOff>95040</xdr:rowOff>
    </xdr:to>
    <xdr:graphicFrame>
      <xdr:nvGraphicFramePr>
        <xdr:cNvPr id="2" name="Chart 3"/>
        <xdr:cNvGraphicFramePr/>
      </xdr:nvGraphicFramePr>
      <xdr:xfrm>
        <a:off x="8046360" y="971640"/>
        <a:ext cx="4586760" cy="2847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10</xdr:col>
      <xdr:colOff>343080</xdr:colOff>
      <xdr:row>19</xdr:row>
      <xdr:rowOff>85680</xdr:rowOff>
    </xdr:from>
    <xdr:to>
      <xdr:col>18</xdr:col>
      <xdr:colOff>37800</xdr:colOff>
      <xdr:row>33</xdr:row>
      <xdr:rowOff>161640</xdr:rowOff>
    </xdr:to>
    <xdr:graphicFrame>
      <xdr:nvGraphicFramePr>
        <xdr:cNvPr id="3" name="Chart 4"/>
        <xdr:cNvGraphicFramePr/>
      </xdr:nvGraphicFramePr>
      <xdr:xfrm>
        <a:off x="8046360" y="3809880"/>
        <a:ext cx="4586760" cy="260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1"/>
  <sheetViews>
    <sheetView showFormulas="false" showGridLines="true" showRowColHeaders="true" showZeros="true" rightToLeft="false" tabSelected="false" showOutlineSymbols="true" defaultGridColor="true" view="normal" topLeftCell="A26" colorId="64" zoomScale="100" zoomScaleNormal="100" zoomScalePageLayoutView="100" workbookViewId="0">
      <selection pane="topLeft" activeCell="T9" activeCellId="0" sqref="T9"/>
    </sheetView>
  </sheetViews>
  <sheetFormatPr defaultColWidth="8.6796875" defaultRowHeight="14.25" zeroHeight="false" outlineLevelRow="0" outlineLevelCol="0"/>
  <cols>
    <col collapsed="false" customWidth="true" hidden="false" outlineLevel="0" max="1" min="1" style="0" width="17.67"/>
    <col collapsed="false" customWidth="true" hidden="false" outlineLevel="0" max="8" min="8" style="0" width="22.22"/>
  </cols>
  <sheetData>
    <row r="1" customFormat="false" ht="14.25" hidden="false" customHeight="false" outlineLevel="0" collapsed="false">
      <c r="A1" s="0" t="s">
        <v>0</v>
      </c>
      <c r="B1" s="0" t="s">
        <v>1</v>
      </c>
      <c r="C1" s="0" t="s">
        <v>2</v>
      </c>
      <c r="D1" s="1" t="s">
        <v>3</v>
      </c>
      <c r="E1" s="1"/>
      <c r="F1" s="1"/>
      <c r="G1" s="1"/>
      <c r="H1" s="1"/>
    </row>
    <row r="2" customFormat="false" ht="14.25" hidden="false" customHeight="false" outlineLevel="0" collapsed="false">
      <c r="D2" s="1"/>
      <c r="E2" s="1"/>
      <c r="F2" s="1"/>
      <c r="G2" s="1"/>
      <c r="H2" s="1"/>
    </row>
    <row r="5" customFormat="false" ht="18" hidden="false" customHeight="true" outlineLevel="0" collapsed="false">
      <c r="A5" s="2" t="s">
        <v>4</v>
      </c>
      <c r="B5" s="3" t="n">
        <f aca="false">COUNTIF(NCR_Log!H:H,"Open")</f>
        <v>7</v>
      </c>
    </row>
    <row r="7" customFormat="false" ht="18" hidden="false" customHeight="true" outlineLevel="0" collapsed="false">
      <c r="A7" s="2" t="s">
        <v>5</v>
      </c>
      <c r="B7" s="3" t="n">
        <f aca="false">COUNTIF(CAPA!J:J,"Open")</f>
        <v>8</v>
      </c>
    </row>
    <row r="9" customFormat="false" ht="18" hidden="false" customHeight="true" outlineLevel="0" collapsed="false">
      <c r="A9" s="2" t="s">
        <v>6</v>
      </c>
      <c r="B9" s="3" t="n">
        <f aca="false">COUNTIF(CAPA!J:J,"Overdue")</f>
        <v>0</v>
      </c>
    </row>
    <row r="11" customFormat="false" ht="18" hidden="false" customHeight="true" outlineLevel="0" collapsed="false">
      <c r="A11" s="2" t="s">
        <v>7</v>
      </c>
      <c r="B11" s="3" t="n">
        <f aca="false">COUNTIF(Risk_Register!F:F,"&gt;12")</f>
        <v>0</v>
      </c>
    </row>
    <row r="13" customFormat="false" ht="18" hidden="false" customHeight="true" outlineLevel="0" collapsed="false">
      <c r="A13" s="2" t="s">
        <v>8</v>
      </c>
      <c r="B13" s="3" t="n">
        <f aca="false">COUNTIF(Doc_Control!G:G,"Review Due")</f>
        <v>0</v>
      </c>
    </row>
    <row r="15" customFormat="false" ht="18" hidden="false" customHeight="true" outlineLevel="0" collapsed="false">
      <c r="A15" s="2" t="s">
        <v>9</v>
      </c>
      <c r="B15" s="3" t="n">
        <f aca="false">COUNTIF(Training!G:G,"Expired")</f>
        <v>0</v>
      </c>
    </row>
    <row r="40" customFormat="false" ht="14.25" hidden="false" customHeight="false" outlineLevel="0" collapsed="false">
      <c r="A40" s="0" t="s">
        <v>10</v>
      </c>
    </row>
    <row r="41" customFormat="false" ht="14.25" hidden="false" customHeight="false" outlineLevel="0" collapsed="false">
      <c r="A41" s="0" t="s">
        <v>11</v>
      </c>
    </row>
  </sheetData>
  <mergeCells count="1">
    <mergeCell ref="D1:H2"/>
  </mergeCells>
  <conditionalFormatting sqref="B5">
    <cfRule type="cellIs" priority="2" operator="equal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conditionalFormatting sqref="B7">
    <cfRule type="cellIs" priority="4" operator="equal" aboveAverage="0" equalAverage="0" bottom="0" percent="0" rank="0" text="" dxfId="0">
      <formula>0</formula>
    </cfRule>
    <cfRule type="cellIs" priority="5" operator="greaterThan" aboveAverage="0" equalAverage="0" bottom="0" percent="0" rank="0" text="" dxfId="1">
      <formula>0</formula>
    </cfRule>
  </conditionalFormatting>
  <conditionalFormatting sqref="B9">
    <cfRule type="cellIs" priority="6" operator="equal" aboveAverage="0" equalAverage="0" bottom="0" percent="0" rank="0" text="" dxfId="0">
      <formula>0</formula>
    </cfRule>
    <cfRule type="cellIs" priority="7" operator="greaterThan" aboveAverage="0" equalAverage="0" bottom="0" percent="0" rank="0" text="" dxfId="1">
      <formula>0</formula>
    </cfRule>
  </conditionalFormatting>
  <conditionalFormatting sqref="B11">
    <cfRule type="cellIs" priority="8" operator="equal" aboveAverage="0" equalAverage="0" bottom="0" percent="0" rank="0" text="" dxfId="0">
      <formula>0</formula>
    </cfRule>
    <cfRule type="cellIs" priority="9" operator="greaterThan" aboveAverage="0" equalAverage="0" bottom="0" percent="0" rank="0" text="" dxfId="1">
      <formula>0</formula>
    </cfRule>
  </conditionalFormatting>
  <conditionalFormatting sqref="B13">
    <cfRule type="cellIs" priority="10" operator="equal" aboveAverage="0" equalAverage="0" bottom="0" percent="0" rank="0" text="" dxfId="0">
      <formula>0</formula>
    </cfRule>
    <cfRule type="cellIs" priority="11" operator="greaterThan" aboveAverage="0" equalAverage="0" bottom="0" percent="0" rank="0" text="" dxfId="1">
      <formula>0</formula>
    </cfRule>
  </conditionalFormatting>
  <conditionalFormatting sqref="B15">
    <cfRule type="cellIs" priority="12" operator="equal" aboveAverage="0" equalAverage="0" bottom="0" percent="0" rank="0" text="" dxfId="0">
      <formula>0</formula>
    </cfRule>
    <cfRule type="cellIs" priority="13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1"/>
  <sheetViews>
    <sheetView showFormulas="false" showGridLines="true" showRowColHeaders="true" showZeros="true" rightToLeft="false" tabSelected="false" showOutlineSymbols="true" defaultGridColor="true" view="normal" topLeftCell="A66" colorId="64" zoomScale="100" zoomScaleNormal="100" zoomScalePageLayoutView="100" workbookViewId="0">
      <selection pane="topLeft" activeCell="I11" activeCellId="0" sqref="I11"/>
    </sheetView>
  </sheetViews>
  <sheetFormatPr defaultColWidth="8.6796875" defaultRowHeight="14.25" zeroHeight="false" outlineLevelRow="0" outlineLevelCol="0"/>
  <cols>
    <col collapsed="false" customWidth="true" hidden="false" outlineLevel="0" max="2" min="2" style="0" width="34.33"/>
    <col collapsed="false" customWidth="true" hidden="false" outlineLevel="0" max="3" min="3" style="0" width="50"/>
    <col collapsed="false" customWidth="true" hidden="false" outlineLevel="0" max="6" min="6" style="0" width="10.78"/>
    <col collapsed="false" customWidth="true" hidden="false" outlineLevel="0" max="7" min="7" style="0" width="26.22"/>
    <col collapsed="false" customWidth="true" hidden="false" outlineLevel="0" max="8" min="8" style="0" width="25.67"/>
    <col collapsed="false" customWidth="true" hidden="false" outlineLevel="0" max="9" min="9" style="0" width="17.77"/>
    <col collapsed="false" customWidth="true" hidden="false" outlineLevel="0" max="10" min="10" style="0" width="13.77"/>
  </cols>
  <sheetData>
    <row r="1" customFormat="false" ht="14.25" hidden="false" customHeight="false" outlineLevel="0" collapsed="false">
      <c r="A1" s="0" t="s">
        <v>12</v>
      </c>
      <c r="B1" s="0" t="s">
        <v>13</v>
      </c>
      <c r="C1" s="0" t="s">
        <v>14</v>
      </c>
      <c r="D1" s="0" t="s">
        <v>15</v>
      </c>
      <c r="E1" s="0" t="s">
        <v>16</v>
      </c>
      <c r="F1" s="0" t="s">
        <v>17</v>
      </c>
      <c r="G1" s="0" t="s">
        <v>18</v>
      </c>
      <c r="H1" s="0" t="s">
        <v>19</v>
      </c>
      <c r="I1" s="0" t="s">
        <v>20</v>
      </c>
      <c r="J1" s="0" t="s">
        <v>21</v>
      </c>
    </row>
    <row r="2" customFormat="false" ht="28.5" hidden="false" customHeight="true" outlineLevel="0" collapsed="false">
      <c r="A2" s="0" t="s">
        <v>22</v>
      </c>
      <c r="B2" s="0" t="s">
        <v>23</v>
      </c>
      <c r="C2" s="0" t="s">
        <v>24</v>
      </c>
      <c r="D2" s="0" t="n">
        <v>1</v>
      </c>
      <c r="E2" s="0" t="n">
        <v>2</v>
      </c>
      <c r="F2" s="0" t="n">
        <v>2</v>
      </c>
      <c r="G2" s="0" t="s">
        <v>25</v>
      </c>
      <c r="H2" s="4" t="s">
        <v>26</v>
      </c>
      <c r="I2" s="5" t="n">
        <v>46368</v>
      </c>
      <c r="J2" s="6" t="s">
        <v>27</v>
      </c>
    </row>
    <row r="3" customFormat="false" ht="14.25" hidden="false" customHeight="false" outlineLevel="0" collapsed="false">
      <c r="A3" s="0" t="s">
        <v>28</v>
      </c>
      <c r="B3" s="0" t="s">
        <v>23</v>
      </c>
      <c r="C3" s="0" t="s">
        <v>29</v>
      </c>
      <c r="D3" s="0" t="n">
        <v>1</v>
      </c>
      <c r="E3" s="0" t="n">
        <v>1</v>
      </c>
      <c r="F3" s="0" t="n">
        <v>1</v>
      </c>
      <c r="G3" s="0" t="s">
        <v>25</v>
      </c>
      <c r="H3" s="0" t="s">
        <v>30</v>
      </c>
      <c r="I3" s="5" t="n">
        <v>46368</v>
      </c>
      <c r="J3" s="6" t="s">
        <v>27</v>
      </c>
    </row>
    <row r="4" customFormat="false" ht="14.25" hidden="false" customHeight="false" outlineLevel="0" collapsed="false">
      <c r="A4" s="0" t="s">
        <v>31</v>
      </c>
      <c r="B4" s="0" t="s">
        <v>23</v>
      </c>
      <c r="C4" s="0" t="s">
        <v>32</v>
      </c>
      <c r="D4" s="0" t="n">
        <v>1</v>
      </c>
      <c r="E4" s="0" t="n">
        <v>1</v>
      </c>
      <c r="F4" s="0" t="n">
        <v>1</v>
      </c>
      <c r="G4" s="0" t="s">
        <v>25</v>
      </c>
      <c r="H4" s="0" t="s">
        <v>30</v>
      </c>
      <c r="I4" s="5" t="n">
        <v>46368</v>
      </c>
      <c r="J4" s="6" t="s">
        <v>27</v>
      </c>
    </row>
    <row r="5" customFormat="false" ht="14.25" hidden="false" customHeight="false" outlineLevel="0" collapsed="false">
      <c r="A5" s="0" t="s">
        <v>33</v>
      </c>
      <c r="B5" s="0" t="s">
        <v>23</v>
      </c>
      <c r="C5" s="0" t="s">
        <v>34</v>
      </c>
      <c r="D5" s="0" t="n">
        <v>1</v>
      </c>
      <c r="E5" s="0" t="n">
        <v>1</v>
      </c>
      <c r="F5" s="0" t="n">
        <v>1</v>
      </c>
      <c r="G5" s="0" t="s">
        <v>25</v>
      </c>
      <c r="H5" s="0" t="s">
        <v>30</v>
      </c>
      <c r="I5" s="5" t="n">
        <v>46368</v>
      </c>
      <c r="J5" s="6" t="s">
        <v>27</v>
      </c>
    </row>
    <row r="6" customFormat="false" ht="14.25" hidden="false" customHeight="false" outlineLevel="0" collapsed="false">
      <c r="A6" s="0" t="s">
        <v>35</v>
      </c>
      <c r="B6" s="0" t="s">
        <v>23</v>
      </c>
      <c r="C6" s="0" t="s">
        <v>36</v>
      </c>
      <c r="D6" s="0" t="n">
        <v>1</v>
      </c>
      <c r="E6" s="0" t="n">
        <v>2</v>
      </c>
      <c r="F6" s="0" t="n">
        <v>2</v>
      </c>
      <c r="G6" s="0" t="s">
        <v>25</v>
      </c>
      <c r="H6" s="0" t="s">
        <v>37</v>
      </c>
      <c r="I6" s="5" t="n">
        <v>46368</v>
      </c>
      <c r="J6" s="6" t="s">
        <v>27</v>
      </c>
    </row>
    <row r="7" customFormat="false" ht="14.25" hidden="false" customHeight="false" outlineLevel="0" collapsed="false">
      <c r="A7" s="0" t="s">
        <v>38</v>
      </c>
      <c r="B7" s="0" t="s">
        <v>23</v>
      </c>
      <c r="C7" s="0" t="s">
        <v>39</v>
      </c>
      <c r="D7" s="0" t="n">
        <v>1</v>
      </c>
      <c r="E7" s="0" t="n">
        <v>1</v>
      </c>
      <c r="F7" s="0" t="n">
        <v>1</v>
      </c>
      <c r="G7" s="0" t="s">
        <v>25</v>
      </c>
      <c r="H7" s="0" t="s">
        <v>30</v>
      </c>
      <c r="I7" s="5" t="n">
        <v>46368</v>
      </c>
      <c r="J7" s="6" t="s">
        <v>27</v>
      </c>
    </row>
    <row r="8" customFormat="false" ht="14.25" hidden="false" customHeight="false" outlineLevel="0" collapsed="false">
      <c r="A8" s="0" t="s">
        <v>40</v>
      </c>
      <c r="B8" s="0" t="s">
        <v>23</v>
      </c>
      <c r="C8" s="0" t="s">
        <v>41</v>
      </c>
      <c r="D8" s="0" t="n">
        <v>1</v>
      </c>
      <c r="E8" s="0" t="n">
        <v>2</v>
      </c>
      <c r="F8" s="0" t="n">
        <v>2</v>
      </c>
      <c r="G8" s="0" t="s">
        <v>25</v>
      </c>
      <c r="H8" s="0" t="s">
        <v>42</v>
      </c>
      <c r="I8" s="5" t="n">
        <v>46368</v>
      </c>
      <c r="J8" s="6" t="s">
        <v>27</v>
      </c>
    </row>
    <row r="9" customFormat="false" ht="14.25" hidden="false" customHeight="false" outlineLevel="0" collapsed="false">
      <c r="A9" s="0" t="s">
        <v>43</v>
      </c>
      <c r="B9" s="0" t="s">
        <v>23</v>
      </c>
      <c r="C9" s="0" t="s">
        <v>44</v>
      </c>
      <c r="D9" s="0" t="n">
        <v>1</v>
      </c>
      <c r="E9" s="0" t="n">
        <v>1</v>
      </c>
      <c r="F9" s="0" t="n">
        <v>1</v>
      </c>
      <c r="G9" s="0" t="s">
        <v>25</v>
      </c>
      <c r="H9" s="0" t="s">
        <v>30</v>
      </c>
      <c r="I9" s="5" t="n">
        <v>46368</v>
      </c>
      <c r="J9" s="6" t="s">
        <v>27</v>
      </c>
    </row>
    <row r="10" customFormat="false" ht="14.25" hidden="false" customHeight="false" outlineLevel="0" collapsed="false">
      <c r="A10" s="0" t="s">
        <v>45</v>
      </c>
      <c r="B10" s="0" t="s">
        <v>46</v>
      </c>
      <c r="C10" s="0" t="s">
        <v>47</v>
      </c>
      <c r="D10" s="0" t="n">
        <v>1</v>
      </c>
      <c r="E10" s="0" t="n">
        <v>1</v>
      </c>
      <c r="F10" s="0" t="n">
        <v>1</v>
      </c>
      <c r="G10" s="0" t="s">
        <v>48</v>
      </c>
      <c r="H10" s="0" t="s">
        <v>30</v>
      </c>
      <c r="I10" s="5" t="n">
        <v>46368</v>
      </c>
      <c r="J10" s="6" t="s">
        <v>27</v>
      </c>
    </row>
    <row r="11" customFormat="false" ht="14.25" hidden="false" customHeight="false" outlineLevel="0" collapsed="false">
      <c r="A11" s="0" t="s">
        <v>49</v>
      </c>
      <c r="B11" s="0" t="s">
        <v>46</v>
      </c>
      <c r="C11" s="0" t="s">
        <v>50</v>
      </c>
      <c r="D11" s="0" t="n">
        <v>1</v>
      </c>
      <c r="E11" s="0" t="n">
        <v>1</v>
      </c>
      <c r="F11" s="0" t="n">
        <v>1</v>
      </c>
      <c r="G11" s="0" t="s">
        <v>48</v>
      </c>
      <c r="H11" s="0" t="s">
        <v>30</v>
      </c>
      <c r="I11" s="5" t="n">
        <v>46368</v>
      </c>
      <c r="J11" s="6" t="s">
        <v>27</v>
      </c>
    </row>
    <row r="12" customFormat="false" ht="14.25" hidden="false" customHeight="false" outlineLevel="0" collapsed="false">
      <c r="A12" s="0" t="s">
        <v>51</v>
      </c>
      <c r="B12" s="0" t="s">
        <v>46</v>
      </c>
      <c r="C12" s="0" t="s">
        <v>52</v>
      </c>
      <c r="D12" s="0" t="n">
        <v>1</v>
      </c>
      <c r="E12" s="0" t="n">
        <v>1</v>
      </c>
      <c r="F12" s="0" t="n">
        <v>1</v>
      </c>
      <c r="G12" s="0" t="s">
        <v>53</v>
      </c>
      <c r="H12" s="0" t="s">
        <v>30</v>
      </c>
      <c r="I12" s="5" t="n">
        <v>46368</v>
      </c>
      <c r="J12" s="6" t="s">
        <v>27</v>
      </c>
    </row>
    <row r="13" customFormat="false" ht="14.25" hidden="false" customHeight="false" outlineLevel="0" collapsed="false">
      <c r="A13" s="0" t="s">
        <v>54</v>
      </c>
      <c r="B13" s="0" t="s">
        <v>46</v>
      </c>
      <c r="C13" s="0" t="s">
        <v>55</v>
      </c>
      <c r="D13" s="0" t="n">
        <v>1</v>
      </c>
      <c r="E13" s="0" t="n">
        <v>1</v>
      </c>
      <c r="F13" s="0" t="n">
        <v>1</v>
      </c>
      <c r="G13" s="0" t="s">
        <v>48</v>
      </c>
      <c r="H13" s="0" t="s">
        <v>30</v>
      </c>
      <c r="I13" s="5" t="n">
        <v>46368</v>
      </c>
      <c r="J13" s="6" t="s">
        <v>27</v>
      </c>
    </row>
    <row r="14" customFormat="false" ht="14.25" hidden="false" customHeight="false" outlineLevel="0" collapsed="false">
      <c r="A14" s="0" t="s">
        <v>56</v>
      </c>
      <c r="B14" s="0" t="s">
        <v>46</v>
      </c>
      <c r="C14" s="0" t="s">
        <v>57</v>
      </c>
      <c r="D14" s="0" t="n">
        <v>1</v>
      </c>
      <c r="E14" s="0" t="n">
        <v>0</v>
      </c>
      <c r="F14" s="0" t="n">
        <v>0</v>
      </c>
      <c r="G14" s="0" t="s">
        <v>48</v>
      </c>
      <c r="H14" s="0" t="s">
        <v>30</v>
      </c>
      <c r="I14" s="5" t="n">
        <v>46368</v>
      </c>
      <c r="J14" s="6" t="s">
        <v>27</v>
      </c>
    </row>
    <row r="15" customFormat="false" ht="14.25" hidden="false" customHeight="false" outlineLevel="0" collapsed="false">
      <c r="A15" s="0" t="s">
        <v>58</v>
      </c>
      <c r="B15" s="0" t="s">
        <v>59</v>
      </c>
      <c r="C15" s="0" t="s">
        <v>60</v>
      </c>
      <c r="D15" s="0" t="n">
        <v>1</v>
      </c>
      <c r="E15" s="0" t="n">
        <v>1</v>
      </c>
      <c r="F15" s="0" t="n">
        <v>1</v>
      </c>
      <c r="G15" s="0" t="s">
        <v>61</v>
      </c>
      <c r="H15" s="5" t="s">
        <v>30</v>
      </c>
      <c r="I15" s="5" t="n">
        <v>46368</v>
      </c>
      <c r="J15" s="6" t="s">
        <v>27</v>
      </c>
    </row>
    <row r="16" customFormat="false" ht="14.25" hidden="false" customHeight="false" outlineLevel="0" collapsed="false">
      <c r="A16" s="0" t="s">
        <v>62</v>
      </c>
      <c r="B16" s="0" t="s">
        <v>59</v>
      </c>
      <c r="C16" s="0" t="s">
        <v>63</v>
      </c>
      <c r="D16" s="0" t="n">
        <v>1</v>
      </c>
      <c r="E16" s="0" t="n">
        <v>2</v>
      </c>
      <c r="F16" s="0" t="n">
        <v>2</v>
      </c>
      <c r="G16" s="0" t="s">
        <v>61</v>
      </c>
      <c r="H16" s="0" t="s">
        <v>64</v>
      </c>
      <c r="I16" s="5" t="n">
        <v>46368</v>
      </c>
      <c r="J16" s="6" t="s">
        <v>27</v>
      </c>
    </row>
    <row r="17" customFormat="false" ht="14.25" hidden="false" customHeight="false" outlineLevel="0" collapsed="false">
      <c r="A17" s="0" t="s">
        <v>65</v>
      </c>
      <c r="B17" s="0" t="s">
        <v>59</v>
      </c>
      <c r="C17" s="0" t="s">
        <v>66</v>
      </c>
      <c r="D17" s="0" t="n">
        <v>1</v>
      </c>
      <c r="E17" s="0" t="n">
        <v>2</v>
      </c>
      <c r="F17" s="0" t="n">
        <v>2</v>
      </c>
      <c r="G17" s="0" t="s">
        <v>61</v>
      </c>
      <c r="H17" s="0" t="s">
        <v>64</v>
      </c>
      <c r="I17" s="5" t="n">
        <v>46368</v>
      </c>
      <c r="J17" s="6" t="s">
        <v>27</v>
      </c>
    </row>
    <row r="18" customFormat="false" ht="14.25" hidden="false" customHeight="false" outlineLevel="0" collapsed="false">
      <c r="A18" s="0" t="s">
        <v>67</v>
      </c>
      <c r="B18" s="0" t="s">
        <v>59</v>
      </c>
      <c r="C18" s="0" t="s">
        <v>68</v>
      </c>
      <c r="D18" s="0" t="n">
        <v>1</v>
      </c>
      <c r="E18" s="0" t="n">
        <v>1</v>
      </c>
      <c r="F18" s="0" t="n">
        <v>1</v>
      </c>
      <c r="G18" s="0" t="s">
        <v>61</v>
      </c>
      <c r="H18" s="0" t="s">
        <v>30</v>
      </c>
      <c r="I18" s="5" t="n">
        <v>46368</v>
      </c>
      <c r="J18" s="6" t="s">
        <v>27</v>
      </c>
    </row>
    <row r="19" customFormat="false" ht="14.25" hidden="false" customHeight="false" outlineLevel="0" collapsed="false">
      <c r="A19" s="0" t="s">
        <v>69</v>
      </c>
      <c r="B19" s="0" t="s">
        <v>59</v>
      </c>
      <c r="C19" s="0" t="s">
        <v>70</v>
      </c>
      <c r="D19" s="0" t="n">
        <v>1</v>
      </c>
      <c r="E19" s="0" t="n">
        <v>1</v>
      </c>
      <c r="F19" s="0" t="n">
        <v>1</v>
      </c>
      <c r="G19" s="0" t="s">
        <v>61</v>
      </c>
      <c r="H19" s="0" t="s">
        <v>30</v>
      </c>
      <c r="I19" s="5" t="n">
        <v>46368</v>
      </c>
      <c r="J19" s="6" t="s">
        <v>27</v>
      </c>
    </row>
    <row r="20" customFormat="false" ht="14.25" hidden="false" customHeight="false" outlineLevel="0" collapsed="false">
      <c r="A20" s="0" t="s">
        <v>71</v>
      </c>
      <c r="B20" s="0" t="s">
        <v>59</v>
      </c>
      <c r="C20" s="0" t="s">
        <v>72</v>
      </c>
      <c r="D20" s="0" t="n">
        <v>1</v>
      </c>
      <c r="E20" s="0" t="n">
        <v>2</v>
      </c>
      <c r="F20" s="0" t="n">
        <v>2</v>
      </c>
      <c r="G20" s="0" t="s">
        <v>61</v>
      </c>
      <c r="H20" s="0" t="s">
        <v>73</v>
      </c>
      <c r="I20" s="5" t="n">
        <v>46368</v>
      </c>
      <c r="J20" s="6" t="s">
        <v>27</v>
      </c>
    </row>
    <row r="21" customFormat="false" ht="14.25" hidden="false" customHeight="false" outlineLevel="0" collapsed="false">
      <c r="A21" s="0" t="s">
        <v>74</v>
      </c>
      <c r="B21" s="0" t="s">
        <v>59</v>
      </c>
      <c r="C21" s="0" t="s">
        <v>75</v>
      </c>
      <c r="D21" s="0" t="n">
        <v>1</v>
      </c>
      <c r="E21" s="0" t="n">
        <v>1</v>
      </c>
      <c r="F21" s="0" t="n">
        <v>1</v>
      </c>
      <c r="G21" s="0" t="s">
        <v>61</v>
      </c>
      <c r="H21" s="0" t="s">
        <v>30</v>
      </c>
      <c r="I21" s="5" t="n">
        <v>46368</v>
      </c>
      <c r="J21" s="6" t="s">
        <v>27</v>
      </c>
    </row>
    <row r="22" customFormat="false" ht="14.25" hidden="false" customHeight="false" outlineLevel="0" collapsed="false">
      <c r="A22" s="0" t="s">
        <v>76</v>
      </c>
      <c r="B22" s="0" t="s">
        <v>59</v>
      </c>
      <c r="C22" s="0" t="s">
        <v>77</v>
      </c>
      <c r="D22" s="0" t="n">
        <v>1</v>
      </c>
      <c r="E22" s="0" t="n">
        <v>1</v>
      </c>
      <c r="F22" s="0" t="n">
        <v>1</v>
      </c>
      <c r="G22" s="0" t="s">
        <v>61</v>
      </c>
      <c r="H22" s="0" t="s">
        <v>30</v>
      </c>
      <c r="I22" s="5" t="n">
        <v>46368</v>
      </c>
      <c r="J22" s="6" t="s">
        <v>27</v>
      </c>
    </row>
    <row r="23" customFormat="false" ht="14.25" hidden="false" customHeight="false" outlineLevel="0" collapsed="false">
      <c r="A23" s="0" t="s">
        <v>78</v>
      </c>
      <c r="B23" s="0" t="s">
        <v>79</v>
      </c>
      <c r="C23" s="0" t="s">
        <v>80</v>
      </c>
      <c r="D23" s="0" t="n">
        <v>1</v>
      </c>
      <c r="E23" s="0" t="n">
        <v>2</v>
      </c>
      <c r="F23" s="0" t="n">
        <v>2</v>
      </c>
      <c r="G23" s="0" t="s">
        <v>81</v>
      </c>
      <c r="H23" s="0" t="s">
        <v>30</v>
      </c>
      <c r="I23" s="5" t="n">
        <v>46368</v>
      </c>
      <c r="J23" s="6" t="s">
        <v>27</v>
      </c>
    </row>
    <row r="24" customFormat="false" ht="14.25" hidden="false" customHeight="false" outlineLevel="0" collapsed="false">
      <c r="A24" s="0" t="s">
        <v>82</v>
      </c>
      <c r="B24" s="0" t="s">
        <v>79</v>
      </c>
      <c r="C24" s="0" t="s">
        <v>83</v>
      </c>
      <c r="D24" s="0" t="n">
        <v>1</v>
      </c>
      <c r="E24" s="0" t="n">
        <v>1</v>
      </c>
      <c r="F24" s="0" t="n">
        <v>1</v>
      </c>
      <c r="G24" s="0" t="s">
        <v>81</v>
      </c>
      <c r="H24" s="0" t="s">
        <v>30</v>
      </c>
      <c r="I24" s="5" t="n">
        <v>46368</v>
      </c>
      <c r="J24" s="6" t="s">
        <v>27</v>
      </c>
    </row>
    <row r="25" customFormat="false" ht="14.25" hidden="false" customHeight="false" outlineLevel="0" collapsed="false">
      <c r="A25" s="0" t="s">
        <v>84</v>
      </c>
      <c r="B25" s="0" t="s">
        <v>79</v>
      </c>
      <c r="C25" s="0" t="s">
        <v>85</v>
      </c>
      <c r="D25" s="0" t="n">
        <v>1</v>
      </c>
      <c r="E25" s="0" t="n">
        <v>1</v>
      </c>
      <c r="F25" s="0" t="n">
        <v>1</v>
      </c>
      <c r="G25" s="0" t="s">
        <v>81</v>
      </c>
      <c r="H25" s="0" t="s">
        <v>86</v>
      </c>
      <c r="I25" s="5" t="n">
        <v>46368</v>
      </c>
      <c r="J25" s="6" t="s">
        <v>27</v>
      </c>
    </row>
    <row r="26" customFormat="false" ht="14.25" hidden="false" customHeight="false" outlineLevel="0" collapsed="false">
      <c r="A26" s="0" t="s">
        <v>87</v>
      </c>
      <c r="B26" s="0" t="s">
        <v>79</v>
      </c>
      <c r="C26" s="0" t="s">
        <v>88</v>
      </c>
      <c r="D26" s="0" t="n">
        <v>1</v>
      </c>
      <c r="E26" s="0" t="n">
        <v>2</v>
      </c>
      <c r="F26" s="0" t="n">
        <v>2</v>
      </c>
      <c r="G26" s="0" t="s">
        <v>81</v>
      </c>
      <c r="H26" s="0" t="s">
        <v>89</v>
      </c>
      <c r="I26" s="5" t="n">
        <v>46368</v>
      </c>
      <c r="J26" s="6" t="s">
        <v>27</v>
      </c>
    </row>
    <row r="27" customFormat="false" ht="14.25" hidden="false" customHeight="false" outlineLevel="0" collapsed="false">
      <c r="A27" s="0" t="s">
        <v>90</v>
      </c>
      <c r="B27" s="0" t="s">
        <v>79</v>
      </c>
      <c r="C27" s="0" t="s">
        <v>91</v>
      </c>
      <c r="D27" s="0" t="n">
        <v>1</v>
      </c>
      <c r="E27" s="0" t="n">
        <v>2</v>
      </c>
      <c r="F27" s="0" t="n">
        <v>2</v>
      </c>
      <c r="G27" s="0" t="s">
        <v>81</v>
      </c>
      <c r="H27" s="0" t="s">
        <v>92</v>
      </c>
      <c r="I27" s="5" t="n">
        <v>46368</v>
      </c>
      <c r="J27" s="6" t="s">
        <v>27</v>
      </c>
    </row>
    <row r="28" customFormat="false" ht="14.25" hidden="false" customHeight="false" outlineLevel="0" collapsed="false">
      <c r="A28" s="0" t="s">
        <v>93</v>
      </c>
      <c r="B28" s="0" t="s">
        <v>94</v>
      </c>
      <c r="C28" s="0" t="s">
        <v>95</v>
      </c>
      <c r="D28" s="0" t="n">
        <v>1</v>
      </c>
      <c r="E28" s="0" t="n">
        <v>1</v>
      </c>
      <c r="F28" s="0" t="n">
        <v>1</v>
      </c>
      <c r="G28" s="0" t="s">
        <v>96</v>
      </c>
      <c r="H28" s="0" t="s">
        <v>30</v>
      </c>
      <c r="I28" s="5" t="n">
        <v>46368</v>
      </c>
      <c r="J28" s="6" t="s">
        <v>27</v>
      </c>
    </row>
    <row r="29" customFormat="false" ht="14.25" hidden="false" customHeight="false" outlineLevel="0" collapsed="false">
      <c r="A29" s="0" t="s">
        <v>97</v>
      </c>
      <c r="B29" s="0" t="s">
        <v>94</v>
      </c>
      <c r="C29" s="0" t="s">
        <v>98</v>
      </c>
      <c r="D29" s="0" t="n">
        <v>2</v>
      </c>
      <c r="E29" s="0" t="n">
        <v>2</v>
      </c>
      <c r="F29" s="0" t="n">
        <v>4</v>
      </c>
      <c r="G29" s="0" t="s">
        <v>96</v>
      </c>
      <c r="H29" s="0" t="s">
        <v>30</v>
      </c>
      <c r="I29" s="5" t="n">
        <v>46368</v>
      </c>
      <c r="J29" s="6" t="s">
        <v>27</v>
      </c>
    </row>
    <row r="30" customFormat="false" ht="14.25" hidden="false" customHeight="false" outlineLevel="0" collapsed="false">
      <c r="A30" s="0" t="s">
        <v>99</v>
      </c>
      <c r="B30" s="0" t="s">
        <v>94</v>
      </c>
      <c r="C30" s="0" t="s">
        <v>100</v>
      </c>
      <c r="D30" s="0" t="n">
        <v>2</v>
      </c>
      <c r="E30" s="0" t="n">
        <v>1</v>
      </c>
      <c r="F30" s="0" t="n">
        <v>1</v>
      </c>
      <c r="G30" s="0" t="s">
        <v>96</v>
      </c>
      <c r="H30" s="0" t="s">
        <v>30</v>
      </c>
      <c r="I30" s="5" t="n">
        <v>46368</v>
      </c>
      <c r="J30" s="6" t="s">
        <v>27</v>
      </c>
    </row>
    <row r="31" customFormat="false" ht="14.25" hidden="false" customHeight="false" outlineLevel="0" collapsed="false">
      <c r="A31" s="0" t="s">
        <v>101</v>
      </c>
      <c r="B31" s="0" t="s">
        <v>94</v>
      </c>
      <c r="C31" s="0" t="s">
        <v>102</v>
      </c>
      <c r="D31" s="0" t="n">
        <v>1</v>
      </c>
      <c r="E31" s="0" t="n">
        <v>1</v>
      </c>
      <c r="F31" s="0" t="n">
        <v>1</v>
      </c>
      <c r="G31" s="0" t="s">
        <v>96</v>
      </c>
      <c r="H31" s="0" t="s">
        <v>30</v>
      </c>
      <c r="I31" s="5" t="n">
        <v>46368</v>
      </c>
      <c r="J31" s="6" t="s">
        <v>27</v>
      </c>
    </row>
    <row r="32" customFormat="false" ht="14.25" hidden="false" customHeight="false" outlineLevel="0" collapsed="false">
      <c r="A32" s="0" t="s">
        <v>103</v>
      </c>
      <c r="B32" s="0" t="s">
        <v>94</v>
      </c>
      <c r="C32" s="0" t="s">
        <v>104</v>
      </c>
      <c r="D32" s="0" t="n">
        <v>0</v>
      </c>
      <c r="E32" s="0" t="n">
        <v>1</v>
      </c>
      <c r="F32" s="0" t="n">
        <v>0</v>
      </c>
      <c r="G32" s="0" t="s">
        <v>96</v>
      </c>
      <c r="H32" s="0" t="s">
        <v>30</v>
      </c>
      <c r="I32" s="5" t="n">
        <v>46368</v>
      </c>
      <c r="J32" s="6" t="s">
        <v>27</v>
      </c>
    </row>
    <row r="33" customFormat="false" ht="14.25" hidden="false" customHeight="false" outlineLevel="0" collapsed="false">
      <c r="A33" s="0" t="s">
        <v>105</v>
      </c>
      <c r="B33" s="0" t="s">
        <v>94</v>
      </c>
      <c r="C33" s="0" t="s">
        <v>106</v>
      </c>
      <c r="D33" s="0" t="n">
        <v>1</v>
      </c>
      <c r="E33" s="0" t="n">
        <v>1</v>
      </c>
      <c r="F33" s="0" t="n">
        <v>1</v>
      </c>
      <c r="G33" s="0" t="s">
        <v>96</v>
      </c>
      <c r="H33" s="0" t="s">
        <v>30</v>
      </c>
      <c r="I33" s="5" t="n">
        <v>46368</v>
      </c>
      <c r="J33" s="6" t="s">
        <v>27</v>
      </c>
    </row>
    <row r="34" customFormat="false" ht="14.25" hidden="false" customHeight="false" outlineLevel="0" collapsed="false">
      <c r="A34" s="0" t="s">
        <v>107</v>
      </c>
      <c r="B34" s="0" t="s">
        <v>94</v>
      </c>
      <c r="C34" s="0" t="s">
        <v>108</v>
      </c>
      <c r="D34" s="0" t="n">
        <v>1</v>
      </c>
      <c r="E34" s="0" t="n">
        <v>1</v>
      </c>
      <c r="F34" s="0" t="n">
        <v>1</v>
      </c>
      <c r="G34" s="0" t="s">
        <v>96</v>
      </c>
      <c r="H34" s="0" t="s">
        <v>30</v>
      </c>
      <c r="I34" s="5" t="n">
        <v>46368</v>
      </c>
      <c r="J34" s="6" t="s">
        <v>27</v>
      </c>
    </row>
    <row r="35" customFormat="false" ht="14.25" hidden="false" customHeight="false" outlineLevel="0" collapsed="false">
      <c r="A35" s="0" t="s">
        <v>109</v>
      </c>
      <c r="B35" s="0" t="s">
        <v>94</v>
      </c>
      <c r="C35" s="0" t="s">
        <v>110</v>
      </c>
      <c r="D35" s="0" t="n">
        <v>0</v>
      </c>
      <c r="E35" s="0" t="n">
        <v>0</v>
      </c>
      <c r="F35" s="0" t="n">
        <v>0</v>
      </c>
      <c r="G35" s="0" t="s">
        <v>96</v>
      </c>
      <c r="H35" s="0" t="s">
        <v>30</v>
      </c>
      <c r="I35" s="5" t="n">
        <v>46368</v>
      </c>
      <c r="J35" s="6" t="s">
        <v>27</v>
      </c>
    </row>
    <row r="36" customFormat="false" ht="14.25" hidden="false" customHeight="false" outlineLevel="0" collapsed="false">
      <c r="A36" s="0" t="s">
        <v>111</v>
      </c>
      <c r="B36" s="0" t="s">
        <v>94</v>
      </c>
      <c r="C36" s="0" t="s">
        <v>112</v>
      </c>
      <c r="D36" s="0" t="n">
        <v>1</v>
      </c>
      <c r="E36" s="0" t="n">
        <v>1</v>
      </c>
      <c r="F36" s="0" t="n">
        <v>1</v>
      </c>
      <c r="G36" s="0" t="s">
        <v>96</v>
      </c>
      <c r="H36" s="0" t="s">
        <v>30</v>
      </c>
      <c r="I36" s="5" t="n">
        <v>46368</v>
      </c>
      <c r="J36" s="6" t="s">
        <v>27</v>
      </c>
    </row>
    <row r="37" customFormat="false" ht="14.25" hidden="false" customHeight="false" outlineLevel="0" collapsed="false">
      <c r="A37" s="0" t="s">
        <v>113</v>
      </c>
      <c r="B37" s="0" t="s">
        <v>114</v>
      </c>
      <c r="C37" s="0" t="s">
        <v>115</v>
      </c>
      <c r="D37" s="0" t="n">
        <v>1</v>
      </c>
      <c r="E37" s="0" t="n">
        <v>2</v>
      </c>
      <c r="F37" s="0" t="n">
        <v>2</v>
      </c>
      <c r="G37" s="0" t="s">
        <v>116</v>
      </c>
      <c r="H37" s="0" t="s">
        <v>117</v>
      </c>
      <c r="I37" s="5" t="n">
        <v>46368</v>
      </c>
      <c r="J37" s="6" t="s">
        <v>27</v>
      </c>
    </row>
    <row r="38" customFormat="false" ht="14.25" hidden="false" customHeight="false" outlineLevel="0" collapsed="false">
      <c r="A38" s="0" t="s">
        <v>118</v>
      </c>
      <c r="B38" s="0" t="s">
        <v>114</v>
      </c>
      <c r="C38" s="0" t="s">
        <v>119</v>
      </c>
      <c r="D38" s="0" t="n">
        <v>1</v>
      </c>
      <c r="E38" s="0" t="n">
        <v>1</v>
      </c>
      <c r="F38" s="0" t="n">
        <v>1</v>
      </c>
      <c r="G38" s="0" t="s">
        <v>116</v>
      </c>
      <c r="H38" s="0" t="s">
        <v>30</v>
      </c>
      <c r="I38" s="5" t="n">
        <v>46368</v>
      </c>
      <c r="J38" s="6" t="s">
        <v>27</v>
      </c>
    </row>
    <row r="39" customFormat="false" ht="14.25" hidden="false" customHeight="false" outlineLevel="0" collapsed="false">
      <c r="A39" s="0" t="s">
        <v>120</v>
      </c>
      <c r="B39" s="0" t="s">
        <v>114</v>
      </c>
      <c r="C39" s="0" t="s">
        <v>121</v>
      </c>
      <c r="D39" s="0" t="n">
        <v>1</v>
      </c>
      <c r="E39" s="0" t="n">
        <v>1</v>
      </c>
      <c r="F39" s="0" t="n">
        <v>1</v>
      </c>
      <c r="G39" s="0" t="s">
        <v>116</v>
      </c>
      <c r="H39" s="0" t="s">
        <v>30</v>
      </c>
      <c r="I39" s="5" t="n">
        <v>46368</v>
      </c>
      <c r="J39" s="6" t="s">
        <v>27</v>
      </c>
    </row>
    <row r="40" customFormat="false" ht="14.25" hidden="false" customHeight="false" outlineLevel="0" collapsed="false">
      <c r="A40" s="0" t="s">
        <v>122</v>
      </c>
      <c r="B40" s="0" t="s">
        <v>114</v>
      </c>
      <c r="C40" s="0" t="s">
        <v>123</v>
      </c>
      <c r="D40" s="0" t="n">
        <v>1</v>
      </c>
      <c r="E40" s="0" t="n">
        <v>2</v>
      </c>
      <c r="F40" s="0" t="n">
        <v>2</v>
      </c>
      <c r="G40" s="0" t="s">
        <v>116</v>
      </c>
      <c r="H40" s="0" t="s">
        <v>124</v>
      </c>
      <c r="I40" s="5" t="n">
        <v>46368</v>
      </c>
      <c r="J40" s="6" t="s">
        <v>27</v>
      </c>
    </row>
    <row r="41" customFormat="false" ht="14.25" hidden="false" customHeight="false" outlineLevel="0" collapsed="false">
      <c r="A41" s="0" t="s">
        <v>125</v>
      </c>
      <c r="B41" s="0" t="s">
        <v>114</v>
      </c>
      <c r="C41" s="0" t="s">
        <v>126</v>
      </c>
      <c r="D41" s="0" t="n">
        <v>1</v>
      </c>
      <c r="E41" s="0" t="n">
        <v>1</v>
      </c>
      <c r="F41" s="0" t="n">
        <v>1</v>
      </c>
      <c r="G41" s="0" t="s">
        <v>116</v>
      </c>
      <c r="H41" s="0" t="s">
        <v>30</v>
      </c>
      <c r="I41" s="5" t="n">
        <v>46368</v>
      </c>
      <c r="J41" s="6" t="s">
        <v>27</v>
      </c>
    </row>
    <row r="42" customFormat="false" ht="14.25" hidden="false" customHeight="false" outlineLevel="0" collapsed="false">
      <c r="A42" s="0" t="s">
        <v>127</v>
      </c>
      <c r="B42" s="0" t="s">
        <v>114</v>
      </c>
      <c r="C42" s="0" t="s">
        <v>128</v>
      </c>
      <c r="D42" s="0" t="n">
        <v>2</v>
      </c>
      <c r="E42" s="0" t="n">
        <v>2</v>
      </c>
      <c r="F42" s="0" t="n">
        <v>4</v>
      </c>
      <c r="G42" s="0" t="s">
        <v>116</v>
      </c>
      <c r="H42" s="0" t="s">
        <v>129</v>
      </c>
      <c r="I42" s="5" t="n">
        <v>46368</v>
      </c>
      <c r="J42" s="6" t="s">
        <v>27</v>
      </c>
    </row>
    <row r="43" customFormat="false" ht="14.25" hidden="false" customHeight="false" outlineLevel="0" collapsed="false">
      <c r="A43" s="0" t="s">
        <v>130</v>
      </c>
      <c r="B43" s="0" t="s">
        <v>131</v>
      </c>
      <c r="C43" s="0" t="s">
        <v>132</v>
      </c>
      <c r="D43" s="0" t="n">
        <v>1</v>
      </c>
      <c r="E43" s="0" t="n">
        <v>1</v>
      </c>
      <c r="F43" s="0" t="n">
        <v>1</v>
      </c>
      <c r="G43" s="0" t="s">
        <v>133</v>
      </c>
      <c r="H43" s="0" t="s">
        <v>30</v>
      </c>
      <c r="I43" s="5" t="n">
        <v>46368</v>
      </c>
      <c r="J43" s="6" t="s">
        <v>27</v>
      </c>
    </row>
    <row r="44" customFormat="false" ht="14.25" hidden="false" customHeight="false" outlineLevel="0" collapsed="false">
      <c r="A44" s="0" t="s">
        <v>134</v>
      </c>
      <c r="B44" s="0" t="s">
        <v>131</v>
      </c>
      <c r="C44" s="0" t="s">
        <v>135</v>
      </c>
      <c r="D44" s="0" t="n">
        <v>1</v>
      </c>
      <c r="E44" s="0" t="n">
        <v>2</v>
      </c>
      <c r="F44" s="0" t="n">
        <v>2</v>
      </c>
      <c r="G44" s="0" t="s">
        <v>133</v>
      </c>
      <c r="H44" s="0" t="s">
        <v>30</v>
      </c>
      <c r="I44" s="5" t="n">
        <v>46368</v>
      </c>
      <c r="J44" s="6" t="s">
        <v>27</v>
      </c>
    </row>
    <row r="45" customFormat="false" ht="14.25" hidden="false" customHeight="false" outlineLevel="0" collapsed="false">
      <c r="A45" s="0" t="s">
        <v>136</v>
      </c>
      <c r="B45" s="0" t="s">
        <v>131</v>
      </c>
      <c r="C45" s="0" t="s">
        <v>137</v>
      </c>
      <c r="D45" s="0" t="n">
        <v>1</v>
      </c>
      <c r="E45" s="0" t="n">
        <v>1</v>
      </c>
      <c r="F45" s="0" t="n">
        <v>1</v>
      </c>
      <c r="G45" s="0" t="s">
        <v>133</v>
      </c>
      <c r="H45" s="0" t="s">
        <v>30</v>
      </c>
      <c r="I45" s="5" t="n">
        <v>46368</v>
      </c>
      <c r="J45" s="6" t="s">
        <v>27</v>
      </c>
    </row>
    <row r="46" customFormat="false" ht="14.25" hidden="false" customHeight="false" outlineLevel="0" collapsed="false">
      <c r="A46" s="0" t="s">
        <v>138</v>
      </c>
      <c r="B46" s="0" t="s">
        <v>131</v>
      </c>
      <c r="C46" s="0" t="s">
        <v>139</v>
      </c>
      <c r="D46" s="0" t="n">
        <v>1</v>
      </c>
      <c r="E46" s="0" t="n">
        <v>2</v>
      </c>
      <c r="F46" s="0" t="n">
        <v>2</v>
      </c>
      <c r="G46" s="0" t="s">
        <v>133</v>
      </c>
      <c r="H46" s="0" t="s">
        <v>30</v>
      </c>
      <c r="I46" s="5" t="n">
        <v>46368</v>
      </c>
      <c r="J46" s="6" t="s">
        <v>27</v>
      </c>
    </row>
    <row r="47" customFormat="false" ht="14.25" hidden="false" customHeight="false" outlineLevel="0" collapsed="false">
      <c r="A47" s="0" t="s">
        <v>140</v>
      </c>
      <c r="B47" s="0" t="s">
        <v>131</v>
      </c>
      <c r="C47" s="0" t="s">
        <v>141</v>
      </c>
      <c r="D47" s="0" t="n">
        <v>1</v>
      </c>
      <c r="E47" s="0" t="n">
        <v>1</v>
      </c>
      <c r="F47" s="0" t="n">
        <v>1</v>
      </c>
      <c r="G47" s="0" t="s">
        <v>133</v>
      </c>
      <c r="H47" s="0" t="s">
        <v>30</v>
      </c>
      <c r="I47" s="5" t="n">
        <v>46368</v>
      </c>
      <c r="J47" s="6" t="s">
        <v>27</v>
      </c>
    </row>
    <row r="48" customFormat="false" ht="14.25" hidden="false" customHeight="false" outlineLevel="0" collapsed="false">
      <c r="A48" s="0" t="s">
        <v>142</v>
      </c>
      <c r="B48" s="0" t="s">
        <v>131</v>
      </c>
      <c r="C48" s="0" t="s">
        <v>143</v>
      </c>
      <c r="D48" s="0" t="n">
        <v>1</v>
      </c>
      <c r="E48" s="0" t="n">
        <v>1</v>
      </c>
      <c r="F48" s="0" t="n">
        <v>1</v>
      </c>
      <c r="G48" s="0" t="s">
        <v>133</v>
      </c>
      <c r="H48" s="0" t="s">
        <v>30</v>
      </c>
      <c r="I48" s="5" t="n">
        <v>46368</v>
      </c>
      <c r="J48" s="6" t="s">
        <v>27</v>
      </c>
    </row>
    <row r="49" customFormat="false" ht="14.25" hidden="false" customHeight="false" outlineLevel="0" collapsed="false">
      <c r="A49" s="0" t="s">
        <v>144</v>
      </c>
      <c r="B49" s="0" t="s">
        <v>131</v>
      </c>
      <c r="C49" s="0" t="s">
        <v>145</v>
      </c>
      <c r="D49" s="0" t="n">
        <v>1</v>
      </c>
      <c r="E49" s="0" t="n">
        <v>1</v>
      </c>
      <c r="F49" s="0" t="n">
        <v>1</v>
      </c>
      <c r="G49" s="0" t="s">
        <v>133</v>
      </c>
      <c r="H49" s="0" t="s">
        <v>30</v>
      </c>
      <c r="I49" s="5" t="n">
        <v>46368</v>
      </c>
      <c r="J49" s="6" t="s">
        <v>27</v>
      </c>
    </row>
    <row r="50" customFormat="false" ht="14.25" hidden="false" customHeight="false" outlineLevel="0" collapsed="false">
      <c r="A50" s="0" t="s">
        <v>146</v>
      </c>
      <c r="B50" s="0" t="s">
        <v>131</v>
      </c>
      <c r="C50" s="0" t="s">
        <v>147</v>
      </c>
      <c r="D50" s="0" t="n">
        <v>1</v>
      </c>
      <c r="E50" s="0" t="n">
        <v>1</v>
      </c>
      <c r="F50" s="0" t="n">
        <v>1</v>
      </c>
      <c r="G50" s="0" t="s">
        <v>133</v>
      </c>
      <c r="H50" s="0" t="s">
        <v>30</v>
      </c>
      <c r="I50" s="5" t="n">
        <v>46368</v>
      </c>
      <c r="J50" s="6" t="s">
        <v>27</v>
      </c>
    </row>
    <row r="51" customFormat="false" ht="14.25" hidden="false" customHeight="false" outlineLevel="0" collapsed="false">
      <c r="A51" s="0" t="s">
        <v>148</v>
      </c>
      <c r="B51" s="0" t="s">
        <v>149</v>
      </c>
      <c r="C51" s="0" t="s">
        <v>80</v>
      </c>
      <c r="D51" s="0" t="n">
        <v>1</v>
      </c>
      <c r="E51" s="0" t="n">
        <v>1</v>
      </c>
      <c r="F51" s="0" t="n">
        <v>1</v>
      </c>
      <c r="G51" s="0" t="s">
        <v>81</v>
      </c>
      <c r="H51" s="0" t="s">
        <v>30</v>
      </c>
      <c r="I51" s="5" t="n">
        <v>46368</v>
      </c>
      <c r="J51" s="6" t="s">
        <v>27</v>
      </c>
    </row>
    <row r="52" customFormat="false" ht="14.25" hidden="false" customHeight="false" outlineLevel="0" collapsed="false">
      <c r="A52" s="0" t="s">
        <v>150</v>
      </c>
      <c r="B52" s="0" t="s">
        <v>149</v>
      </c>
      <c r="C52" s="0" t="s">
        <v>151</v>
      </c>
      <c r="D52" s="0" t="n">
        <v>1</v>
      </c>
      <c r="E52" s="0" t="n">
        <v>2</v>
      </c>
      <c r="F52" s="0" t="n">
        <v>2</v>
      </c>
      <c r="G52" s="0" t="s">
        <v>81</v>
      </c>
      <c r="H52" s="0" t="s">
        <v>89</v>
      </c>
      <c r="I52" s="5" t="n">
        <v>46368</v>
      </c>
      <c r="J52" s="6" t="s">
        <v>27</v>
      </c>
    </row>
    <row r="53" customFormat="false" ht="14.25" hidden="false" customHeight="false" outlineLevel="0" collapsed="false">
      <c r="A53" s="0" t="s">
        <v>152</v>
      </c>
      <c r="B53" s="0" t="s">
        <v>149</v>
      </c>
      <c r="C53" s="0" t="s">
        <v>141</v>
      </c>
      <c r="D53" s="0" t="n">
        <v>1</v>
      </c>
      <c r="E53" s="0" t="n">
        <v>1</v>
      </c>
      <c r="F53" s="0" t="n">
        <v>1</v>
      </c>
      <c r="G53" s="0" t="s">
        <v>81</v>
      </c>
      <c r="H53" s="0" t="s">
        <v>30</v>
      </c>
      <c r="I53" s="5" t="n">
        <v>46368</v>
      </c>
      <c r="J53" s="6" t="s">
        <v>27</v>
      </c>
    </row>
    <row r="54" customFormat="false" ht="14.25" hidden="false" customHeight="false" outlineLevel="0" collapsed="false">
      <c r="A54" s="0" t="s">
        <v>153</v>
      </c>
      <c r="B54" s="0" t="s">
        <v>149</v>
      </c>
      <c r="C54" s="0" t="s">
        <v>154</v>
      </c>
      <c r="D54" s="0" t="n">
        <v>1</v>
      </c>
      <c r="E54" s="0" t="n">
        <v>2</v>
      </c>
      <c r="F54" s="0" t="n">
        <v>2</v>
      </c>
      <c r="G54" s="0" t="s">
        <v>81</v>
      </c>
      <c r="H54" s="0" t="s">
        <v>155</v>
      </c>
      <c r="I54" s="5" t="n">
        <v>46368</v>
      </c>
      <c r="J54" s="6" t="s">
        <v>27</v>
      </c>
    </row>
    <row r="55" customFormat="false" ht="14.25" hidden="false" customHeight="false" outlineLevel="0" collapsed="false">
      <c r="A55" s="0" t="s">
        <v>156</v>
      </c>
      <c r="B55" s="0" t="s">
        <v>149</v>
      </c>
      <c r="C55" s="0" t="s">
        <v>157</v>
      </c>
      <c r="D55" s="0" t="n">
        <v>1</v>
      </c>
      <c r="E55" s="0" t="n">
        <v>2</v>
      </c>
      <c r="F55" s="0" t="n">
        <v>2</v>
      </c>
      <c r="G55" s="0" t="s">
        <v>81</v>
      </c>
      <c r="H55" s="0" t="s">
        <v>89</v>
      </c>
      <c r="I55" s="5" t="n">
        <v>46368</v>
      </c>
      <c r="J55" s="6" t="s">
        <v>27</v>
      </c>
    </row>
    <row r="56" customFormat="false" ht="14.25" hidden="false" customHeight="false" outlineLevel="0" collapsed="false">
      <c r="A56" s="0" t="s">
        <v>158</v>
      </c>
      <c r="B56" s="0" t="s">
        <v>149</v>
      </c>
      <c r="C56" s="0" t="s">
        <v>141</v>
      </c>
      <c r="D56" s="0" t="n">
        <v>1</v>
      </c>
      <c r="E56" s="0" t="n">
        <v>1</v>
      </c>
      <c r="F56" s="0" t="n">
        <v>1</v>
      </c>
      <c r="G56" s="0" t="s">
        <v>81</v>
      </c>
      <c r="H56" s="0" t="s">
        <v>30</v>
      </c>
      <c r="I56" s="5" t="n">
        <v>46368</v>
      </c>
      <c r="J56" s="6" t="s">
        <v>27</v>
      </c>
    </row>
    <row r="57" customFormat="false" ht="14.25" hidden="false" customHeight="false" outlineLevel="0" collapsed="false">
      <c r="A57" s="0" t="s">
        <v>159</v>
      </c>
      <c r="B57" s="0" t="s">
        <v>160</v>
      </c>
      <c r="C57" s="0" t="s">
        <v>161</v>
      </c>
      <c r="D57" s="0" t="n">
        <v>1</v>
      </c>
      <c r="E57" s="0" t="n">
        <v>1</v>
      </c>
      <c r="F57" s="0" t="n">
        <v>1</v>
      </c>
      <c r="G57" s="0" t="s">
        <v>48</v>
      </c>
      <c r="H57" s="0" t="s">
        <v>30</v>
      </c>
      <c r="I57" s="5" t="n">
        <v>46368</v>
      </c>
      <c r="J57" s="6" t="s">
        <v>27</v>
      </c>
    </row>
    <row r="58" customFormat="false" ht="14.25" hidden="false" customHeight="false" outlineLevel="0" collapsed="false">
      <c r="A58" s="0" t="s">
        <v>162</v>
      </c>
      <c r="B58" s="0" t="s">
        <v>160</v>
      </c>
      <c r="C58" s="0" t="s">
        <v>163</v>
      </c>
      <c r="D58" s="0" t="n">
        <v>1</v>
      </c>
      <c r="E58" s="0" t="n">
        <v>1</v>
      </c>
      <c r="F58" s="0" t="n">
        <v>1</v>
      </c>
      <c r="G58" s="0" t="s">
        <v>48</v>
      </c>
      <c r="H58" s="0" t="s">
        <v>30</v>
      </c>
      <c r="I58" s="5" t="n">
        <v>46368</v>
      </c>
      <c r="J58" s="6" t="s">
        <v>27</v>
      </c>
    </row>
    <row r="59" customFormat="false" ht="14.25" hidden="false" customHeight="false" outlineLevel="0" collapsed="false">
      <c r="A59" s="0" t="s">
        <v>164</v>
      </c>
      <c r="B59" s="0" t="s">
        <v>160</v>
      </c>
      <c r="C59" s="0" t="s">
        <v>165</v>
      </c>
      <c r="D59" s="0" t="n">
        <v>1</v>
      </c>
      <c r="E59" s="0" t="n">
        <v>2</v>
      </c>
      <c r="F59" s="0" t="n">
        <v>2</v>
      </c>
      <c r="G59" s="0" t="s">
        <v>48</v>
      </c>
      <c r="H59" s="0" t="s">
        <v>166</v>
      </c>
      <c r="I59" s="5" t="n">
        <v>46368</v>
      </c>
      <c r="J59" s="6" t="s">
        <v>27</v>
      </c>
    </row>
    <row r="60" customFormat="false" ht="14.25" hidden="false" customHeight="false" outlineLevel="0" collapsed="false">
      <c r="A60" s="0" t="s">
        <v>167</v>
      </c>
      <c r="B60" s="0" t="s">
        <v>160</v>
      </c>
      <c r="C60" s="0" t="s">
        <v>168</v>
      </c>
      <c r="D60" s="0" t="n">
        <v>2</v>
      </c>
      <c r="E60" s="0" t="n">
        <v>2</v>
      </c>
      <c r="F60" s="0" t="n">
        <v>4</v>
      </c>
      <c r="G60" s="0" t="s">
        <v>48</v>
      </c>
      <c r="H60" s="0" t="s">
        <v>30</v>
      </c>
      <c r="I60" s="5" t="n">
        <v>46368</v>
      </c>
      <c r="J60" s="6" t="s">
        <v>27</v>
      </c>
    </row>
    <row r="61" customFormat="false" ht="14.25" hidden="false" customHeight="false" outlineLevel="0" collapsed="false">
      <c r="A61" s="0" t="s">
        <v>169</v>
      </c>
      <c r="B61" s="0" t="s">
        <v>160</v>
      </c>
      <c r="C61" s="0" t="s">
        <v>170</v>
      </c>
      <c r="D61" s="0" t="n">
        <v>1</v>
      </c>
      <c r="E61" s="0" t="n">
        <v>1</v>
      </c>
      <c r="F61" s="0" t="n">
        <v>1</v>
      </c>
      <c r="G61" s="0" t="s">
        <v>48</v>
      </c>
      <c r="H61" s="0" t="s">
        <v>30</v>
      </c>
      <c r="I61" s="5" t="n">
        <v>46368</v>
      </c>
      <c r="J61" s="6" t="s">
        <v>27</v>
      </c>
    </row>
    <row r="62" customFormat="false" ht="14.25" hidden="false" customHeight="false" outlineLevel="0" collapsed="false">
      <c r="A62" s="0" t="s">
        <v>171</v>
      </c>
      <c r="B62" s="0" t="s">
        <v>160</v>
      </c>
      <c r="C62" s="0" t="s">
        <v>172</v>
      </c>
      <c r="D62" s="0" t="n">
        <v>1</v>
      </c>
      <c r="E62" s="0" t="n">
        <v>1</v>
      </c>
      <c r="F62" s="0" t="n">
        <v>1</v>
      </c>
      <c r="G62" s="0" t="s">
        <v>48</v>
      </c>
      <c r="H62" s="0" t="s">
        <v>173</v>
      </c>
      <c r="I62" s="5" t="n">
        <v>46368</v>
      </c>
      <c r="J62" s="6" t="s">
        <v>27</v>
      </c>
    </row>
    <row r="63" customFormat="false" ht="14.25" hidden="false" customHeight="false" outlineLevel="0" collapsed="false">
      <c r="A63" s="0" t="s">
        <v>174</v>
      </c>
      <c r="B63" s="0" t="s">
        <v>160</v>
      </c>
      <c r="C63" s="0" t="s">
        <v>141</v>
      </c>
      <c r="D63" s="0" t="n">
        <v>1</v>
      </c>
      <c r="E63" s="0" t="n">
        <v>1</v>
      </c>
      <c r="F63" s="0" t="n">
        <v>1</v>
      </c>
      <c r="G63" s="0" t="s">
        <v>48</v>
      </c>
      <c r="H63" s="0" t="s">
        <v>30</v>
      </c>
      <c r="I63" s="5" t="n">
        <v>46368</v>
      </c>
      <c r="J63" s="6" t="s">
        <v>27</v>
      </c>
    </row>
    <row r="64" customFormat="false" ht="14.25" hidden="false" customHeight="false" outlineLevel="0" collapsed="false">
      <c r="A64" s="0" t="s">
        <v>175</v>
      </c>
      <c r="B64" s="0" t="s">
        <v>176</v>
      </c>
      <c r="C64" s="0" t="s">
        <v>177</v>
      </c>
      <c r="D64" s="0" t="n">
        <v>1</v>
      </c>
      <c r="E64" s="0" t="n">
        <v>2</v>
      </c>
      <c r="F64" s="0" t="n">
        <v>2</v>
      </c>
      <c r="G64" s="0" t="s">
        <v>178</v>
      </c>
      <c r="H64" s="0" t="s">
        <v>30</v>
      </c>
      <c r="I64" s="5" t="n">
        <v>46368</v>
      </c>
      <c r="J64" s="6" t="s">
        <v>27</v>
      </c>
    </row>
    <row r="65" customFormat="false" ht="14.25" hidden="false" customHeight="false" outlineLevel="0" collapsed="false">
      <c r="A65" s="0" t="s">
        <v>179</v>
      </c>
      <c r="B65" s="0" t="s">
        <v>176</v>
      </c>
      <c r="C65" s="0" t="s">
        <v>180</v>
      </c>
      <c r="D65" s="0" t="n">
        <v>2</v>
      </c>
      <c r="E65" s="0" t="n">
        <v>2</v>
      </c>
      <c r="F65" s="0" t="n">
        <v>4</v>
      </c>
      <c r="G65" s="0" t="s">
        <v>178</v>
      </c>
      <c r="H65" s="0" t="s">
        <v>181</v>
      </c>
      <c r="I65" s="5" t="n">
        <v>46368</v>
      </c>
      <c r="J65" s="6" t="s">
        <v>27</v>
      </c>
    </row>
    <row r="66" customFormat="false" ht="14.25" hidden="false" customHeight="false" outlineLevel="0" collapsed="false">
      <c r="A66" s="0" t="s">
        <v>182</v>
      </c>
      <c r="B66" s="0" t="s">
        <v>176</v>
      </c>
      <c r="C66" s="0" t="s">
        <v>183</v>
      </c>
      <c r="D66" s="0" t="n">
        <v>1</v>
      </c>
      <c r="E66" s="0" t="n">
        <v>1</v>
      </c>
      <c r="F66" s="0" t="n">
        <v>1</v>
      </c>
      <c r="G66" s="0" t="s">
        <v>178</v>
      </c>
      <c r="H66" s="0" t="s">
        <v>30</v>
      </c>
      <c r="I66" s="5" t="n">
        <v>46368</v>
      </c>
      <c r="J66" s="6" t="s">
        <v>27</v>
      </c>
    </row>
    <row r="67" customFormat="false" ht="14.25" hidden="false" customHeight="false" outlineLevel="0" collapsed="false">
      <c r="A67" s="0" t="s">
        <v>184</v>
      </c>
      <c r="B67" s="0" t="s">
        <v>176</v>
      </c>
      <c r="C67" s="0" t="s">
        <v>185</v>
      </c>
      <c r="D67" s="0" t="n">
        <v>1</v>
      </c>
      <c r="E67" s="0" t="n">
        <v>1</v>
      </c>
      <c r="F67" s="0" t="n">
        <v>1</v>
      </c>
      <c r="G67" s="0" t="s">
        <v>178</v>
      </c>
      <c r="H67" s="0" t="s">
        <v>30</v>
      </c>
      <c r="I67" s="5" t="n">
        <v>46368</v>
      </c>
      <c r="J67" s="6" t="s">
        <v>27</v>
      </c>
    </row>
    <row r="68" customFormat="false" ht="14.25" hidden="false" customHeight="false" outlineLevel="0" collapsed="false">
      <c r="A68" s="0" t="s">
        <v>186</v>
      </c>
      <c r="B68" s="0" t="s">
        <v>176</v>
      </c>
      <c r="C68" s="0" t="s">
        <v>187</v>
      </c>
      <c r="D68" s="0" t="n">
        <v>1</v>
      </c>
      <c r="E68" s="0" t="n">
        <v>1</v>
      </c>
      <c r="F68" s="0" t="n">
        <v>1</v>
      </c>
      <c r="G68" s="0" t="s">
        <v>178</v>
      </c>
      <c r="H68" s="0" t="s">
        <v>30</v>
      </c>
      <c r="I68" s="5" t="n">
        <v>46368</v>
      </c>
      <c r="J68" s="6" t="s">
        <v>27</v>
      </c>
    </row>
    <row r="69" customFormat="false" ht="14.25" hidden="false" customHeight="false" outlineLevel="0" collapsed="false">
      <c r="A69" s="0" t="s">
        <v>188</v>
      </c>
      <c r="B69" s="0" t="s">
        <v>176</v>
      </c>
      <c r="C69" s="0" t="s">
        <v>189</v>
      </c>
      <c r="D69" s="0" t="n">
        <v>1</v>
      </c>
      <c r="E69" s="0" t="n">
        <v>1</v>
      </c>
      <c r="F69" s="0" t="n">
        <v>1</v>
      </c>
      <c r="G69" s="0" t="s">
        <v>178</v>
      </c>
      <c r="H69" s="0" t="s">
        <v>190</v>
      </c>
      <c r="I69" s="5" t="n">
        <v>46368</v>
      </c>
      <c r="J69" s="6" t="s">
        <v>27</v>
      </c>
    </row>
    <row r="70" customFormat="false" ht="14.25" hidden="false" customHeight="false" outlineLevel="0" collapsed="false">
      <c r="A70" s="0" t="s">
        <v>191</v>
      </c>
      <c r="B70" s="0" t="s">
        <v>176</v>
      </c>
      <c r="C70" s="0" t="s">
        <v>192</v>
      </c>
      <c r="D70" s="0" t="n">
        <v>1</v>
      </c>
      <c r="E70" s="0" t="n">
        <v>2</v>
      </c>
      <c r="F70" s="0" t="n">
        <v>2</v>
      </c>
      <c r="G70" s="0" t="s">
        <v>178</v>
      </c>
      <c r="H70" s="0" t="s">
        <v>193</v>
      </c>
      <c r="I70" s="5" t="n">
        <v>46368</v>
      </c>
      <c r="J70" s="6" t="s">
        <v>27</v>
      </c>
    </row>
    <row r="71" customFormat="false" ht="14.25" hidden="false" customHeight="false" outlineLevel="0" collapsed="false">
      <c r="A71" s="0" t="s">
        <v>194</v>
      </c>
      <c r="B71" s="0" t="s">
        <v>176</v>
      </c>
      <c r="C71" s="0" t="s">
        <v>195</v>
      </c>
      <c r="D71" s="0" t="n">
        <v>2</v>
      </c>
      <c r="E71" s="0" t="n">
        <v>2</v>
      </c>
      <c r="F71" s="0" t="n">
        <v>4</v>
      </c>
      <c r="G71" s="0" t="s">
        <v>178</v>
      </c>
      <c r="H71" s="0" t="s">
        <v>196</v>
      </c>
      <c r="I71" s="5" t="n">
        <v>46368</v>
      </c>
      <c r="J71" s="6" t="s">
        <v>27</v>
      </c>
    </row>
    <row r="72" customFormat="false" ht="14.25" hidden="false" customHeight="false" outlineLevel="0" collapsed="false">
      <c r="A72" s="0" t="s">
        <v>197</v>
      </c>
      <c r="B72" s="0" t="s">
        <v>198</v>
      </c>
      <c r="C72" s="0" t="s">
        <v>161</v>
      </c>
      <c r="D72" s="0" t="n">
        <v>1</v>
      </c>
      <c r="E72" s="0" t="n">
        <v>1</v>
      </c>
      <c r="F72" s="0" t="n">
        <v>1</v>
      </c>
      <c r="G72" s="0" t="s">
        <v>199</v>
      </c>
      <c r="H72" s="0" t="s">
        <v>30</v>
      </c>
      <c r="I72" s="5" t="n">
        <v>46368</v>
      </c>
      <c r="J72" s="6" t="s">
        <v>27</v>
      </c>
    </row>
    <row r="73" customFormat="false" ht="14.25" hidden="false" customHeight="false" outlineLevel="0" collapsed="false">
      <c r="A73" s="0" t="s">
        <v>200</v>
      </c>
      <c r="B73" s="0" t="s">
        <v>198</v>
      </c>
      <c r="C73" s="0" t="s">
        <v>201</v>
      </c>
      <c r="D73" s="0" t="n">
        <v>1</v>
      </c>
      <c r="E73" s="0" t="n">
        <v>1</v>
      </c>
      <c r="F73" s="0" t="n">
        <v>1</v>
      </c>
      <c r="G73" s="0" t="s">
        <v>199</v>
      </c>
      <c r="H73" s="0" t="s">
        <v>30</v>
      </c>
      <c r="I73" s="5" t="n">
        <v>46368</v>
      </c>
      <c r="J73" s="6" t="s">
        <v>27</v>
      </c>
    </row>
    <row r="74" customFormat="false" ht="14.25" hidden="false" customHeight="false" outlineLevel="0" collapsed="false">
      <c r="A74" s="0" t="s">
        <v>202</v>
      </c>
      <c r="B74" s="0" t="s">
        <v>198</v>
      </c>
      <c r="C74" s="0" t="s">
        <v>203</v>
      </c>
      <c r="D74" s="0" t="n">
        <v>1</v>
      </c>
      <c r="E74" s="0" t="n">
        <v>2</v>
      </c>
      <c r="F74" s="0" t="n">
        <v>2</v>
      </c>
      <c r="G74" s="0" t="s">
        <v>199</v>
      </c>
      <c r="H74" s="0" t="s">
        <v>166</v>
      </c>
      <c r="I74" s="5" t="n">
        <v>46368</v>
      </c>
      <c r="J74" s="6" t="s">
        <v>27</v>
      </c>
    </row>
    <row r="75" customFormat="false" ht="14.25" hidden="false" customHeight="false" outlineLevel="0" collapsed="false">
      <c r="A75" s="0" t="s">
        <v>204</v>
      </c>
      <c r="B75" s="0" t="s">
        <v>198</v>
      </c>
      <c r="C75" s="0" t="s">
        <v>168</v>
      </c>
      <c r="D75" s="0" t="n">
        <v>2</v>
      </c>
      <c r="E75" s="0" t="n">
        <v>2</v>
      </c>
      <c r="F75" s="0" t="n">
        <v>4</v>
      </c>
      <c r="G75" s="0" t="s">
        <v>199</v>
      </c>
      <c r="H75" s="0" t="s">
        <v>30</v>
      </c>
      <c r="I75" s="5" t="n">
        <v>46368</v>
      </c>
      <c r="J75" s="6" t="s">
        <v>27</v>
      </c>
    </row>
    <row r="76" customFormat="false" ht="14.25" hidden="false" customHeight="false" outlineLevel="0" collapsed="false">
      <c r="A76" s="0" t="s">
        <v>205</v>
      </c>
      <c r="B76" s="0" t="s">
        <v>198</v>
      </c>
      <c r="C76" s="0" t="s">
        <v>170</v>
      </c>
      <c r="D76" s="0" t="n">
        <v>1</v>
      </c>
      <c r="E76" s="0" t="n">
        <v>1</v>
      </c>
      <c r="F76" s="0" t="n">
        <v>1</v>
      </c>
      <c r="G76" s="0" t="s">
        <v>199</v>
      </c>
      <c r="H76" s="0" t="s">
        <v>30</v>
      </c>
      <c r="I76" s="5" t="n">
        <v>46368</v>
      </c>
      <c r="J76" s="6" t="s">
        <v>27</v>
      </c>
    </row>
    <row r="77" customFormat="false" ht="14.25" hidden="false" customHeight="false" outlineLevel="0" collapsed="false">
      <c r="A77" s="0" t="s">
        <v>206</v>
      </c>
      <c r="I77" s="5"/>
    </row>
    <row r="78" customFormat="false" ht="14.25" hidden="false" customHeight="false" outlineLevel="0" collapsed="false">
      <c r="I78" s="5"/>
    </row>
    <row r="79" customFormat="false" ht="14.25" hidden="false" customHeight="false" outlineLevel="0" collapsed="false">
      <c r="I79" s="5"/>
    </row>
    <row r="80" customFormat="false" ht="14.25" hidden="false" customHeight="false" outlineLevel="0" collapsed="false">
      <c r="I80" s="5"/>
    </row>
    <row r="81" customFormat="false" ht="14.25" hidden="false" customHeight="false" outlineLevel="0" collapsed="false">
      <c r="I81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5" activeCellId="0" sqref="H15"/>
    </sheetView>
  </sheetViews>
  <sheetFormatPr defaultColWidth="8.6796875" defaultRowHeight="14.25" zeroHeight="false" outlineLevelRow="0" outlineLevelCol="0"/>
  <cols>
    <col collapsed="false" customWidth="true" hidden="false" outlineLevel="0" max="2" min="2" style="0" width="15.56"/>
    <col collapsed="false" customWidth="true" hidden="false" outlineLevel="0" max="3" min="3" style="0" width="32.56"/>
    <col collapsed="false" customWidth="true" hidden="false" outlineLevel="0" max="4" min="4" style="0" width="50.88"/>
    <col collapsed="false" customWidth="true" hidden="false" outlineLevel="0" max="5" min="5" style="0" width="29.78"/>
    <col collapsed="false" customWidth="true" hidden="false" outlineLevel="0" max="7" min="7" style="0" width="28.67"/>
    <col collapsed="false" customWidth="true" hidden="false" outlineLevel="0" max="8" min="8" style="0" width="24.78"/>
  </cols>
  <sheetData>
    <row r="1" customFormat="false" ht="14.25" hidden="false" customHeight="false" outlineLevel="0" collapsed="false">
      <c r="A1" s="0" t="s">
        <v>207</v>
      </c>
      <c r="B1" s="0" t="s">
        <v>208</v>
      </c>
      <c r="C1" s="0" t="s">
        <v>209</v>
      </c>
      <c r="D1" s="0" t="s">
        <v>14</v>
      </c>
      <c r="E1" s="0" t="s">
        <v>210</v>
      </c>
      <c r="F1" s="0" t="s">
        <v>211</v>
      </c>
      <c r="G1" s="0" t="s">
        <v>18</v>
      </c>
      <c r="H1" s="0" t="s">
        <v>21</v>
      </c>
    </row>
    <row r="2" customFormat="false" ht="14.25" hidden="false" customHeight="false" outlineLevel="0" collapsed="false">
      <c r="A2" s="0" t="s">
        <v>212</v>
      </c>
      <c r="B2" s="5" t="n">
        <v>45984.7674644676</v>
      </c>
      <c r="C2" s="6" t="s">
        <v>213</v>
      </c>
      <c r="D2" s="6" t="s">
        <v>214</v>
      </c>
      <c r="E2" s="6" t="s">
        <v>215</v>
      </c>
      <c r="F2" s="6" t="s">
        <v>216</v>
      </c>
      <c r="G2" s="6" t="s">
        <v>217</v>
      </c>
      <c r="H2" s="6" t="s">
        <v>218</v>
      </c>
    </row>
    <row r="3" customFormat="false" ht="14.25" hidden="false" customHeight="false" outlineLevel="0" collapsed="false">
      <c r="A3" s="0" t="s">
        <v>219</v>
      </c>
      <c r="B3" s="5" t="n">
        <v>45681</v>
      </c>
      <c r="C3" s="6" t="s">
        <v>220</v>
      </c>
      <c r="D3" s="4" t="s">
        <v>221</v>
      </c>
      <c r="E3" s="6" t="s">
        <v>222</v>
      </c>
      <c r="F3" s="6" t="s">
        <v>223</v>
      </c>
      <c r="G3" s="6" t="s">
        <v>224</v>
      </c>
      <c r="H3" s="6" t="s">
        <v>225</v>
      </c>
    </row>
    <row r="4" customFormat="false" ht="14.25" hidden="false" customHeight="false" outlineLevel="0" collapsed="false">
      <c r="A4" s="0" t="s">
        <v>226</v>
      </c>
      <c r="B4" s="5" t="n">
        <v>45680</v>
      </c>
      <c r="C4" s="6" t="s">
        <v>227</v>
      </c>
      <c r="D4" s="4" t="s">
        <v>228</v>
      </c>
      <c r="E4" s="6" t="s">
        <v>229</v>
      </c>
      <c r="F4" s="6" t="s">
        <v>230</v>
      </c>
      <c r="G4" s="6" t="s">
        <v>231</v>
      </c>
      <c r="H4" s="6" t="s">
        <v>225</v>
      </c>
    </row>
    <row r="5" customFormat="false" ht="14.25" hidden="false" customHeight="false" outlineLevel="0" collapsed="false">
      <c r="A5" s="0" t="s">
        <v>232</v>
      </c>
      <c r="B5" s="5" t="n">
        <v>45756</v>
      </c>
      <c r="C5" s="6" t="s">
        <v>233</v>
      </c>
      <c r="D5" s="4" t="s">
        <v>234</v>
      </c>
      <c r="E5" s="6" t="s">
        <v>229</v>
      </c>
      <c r="F5" s="6" t="s">
        <v>235</v>
      </c>
      <c r="G5" s="6" t="s">
        <v>231</v>
      </c>
      <c r="H5" s="6" t="s">
        <v>225</v>
      </c>
    </row>
    <row r="6" customFormat="false" ht="14.25" hidden="false" customHeight="false" outlineLevel="0" collapsed="false">
      <c r="A6" s="0" t="s">
        <v>236</v>
      </c>
      <c r="B6" s="5" t="n">
        <v>45758</v>
      </c>
      <c r="C6" s="6" t="s">
        <v>227</v>
      </c>
      <c r="D6" s="4" t="s">
        <v>237</v>
      </c>
      <c r="E6" s="6" t="s">
        <v>229</v>
      </c>
      <c r="F6" s="6" t="s">
        <v>238</v>
      </c>
      <c r="G6" s="6" t="s">
        <v>231</v>
      </c>
      <c r="H6" s="6" t="s">
        <v>225</v>
      </c>
    </row>
    <row r="7" customFormat="false" ht="14.25" hidden="false" customHeight="false" outlineLevel="0" collapsed="false">
      <c r="A7" s="0" t="s">
        <v>239</v>
      </c>
      <c r="B7" s="5" t="n">
        <v>45826</v>
      </c>
      <c r="C7" s="6" t="s">
        <v>227</v>
      </c>
      <c r="D7" s="4" t="s">
        <v>240</v>
      </c>
      <c r="E7" s="6" t="s">
        <v>229</v>
      </c>
      <c r="F7" s="6" t="s">
        <v>241</v>
      </c>
      <c r="G7" s="6" t="s">
        <v>231</v>
      </c>
      <c r="H7" s="6" t="s">
        <v>225</v>
      </c>
    </row>
    <row r="8" customFormat="false" ht="14.25" hidden="false" customHeight="false" outlineLevel="0" collapsed="false">
      <c r="A8" s="0" t="s">
        <v>242</v>
      </c>
      <c r="B8" s="5" t="n">
        <v>45826</v>
      </c>
      <c r="C8" s="6" t="s">
        <v>243</v>
      </c>
      <c r="D8" s="4" t="s">
        <v>244</v>
      </c>
      <c r="E8" s="6" t="s">
        <v>245</v>
      </c>
      <c r="F8" s="6" t="s">
        <v>246</v>
      </c>
      <c r="G8" s="6" t="s">
        <v>231</v>
      </c>
      <c r="H8" s="6" t="s">
        <v>225</v>
      </c>
    </row>
    <row r="9" customFormat="false" ht="14.25" hidden="false" customHeight="false" outlineLevel="0" collapsed="false">
      <c r="A9" s="0" t="s">
        <v>247</v>
      </c>
      <c r="B9" s="5" t="n">
        <v>45827</v>
      </c>
      <c r="C9" s="6" t="s">
        <v>248</v>
      </c>
      <c r="D9" s="4" t="s">
        <v>244</v>
      </c>
      <c r="E9" s="6" t="s">
        <v>249</v>
      </c>
      <c r="F9" s="6" t="s">
        <v>250</v>
      </c>
      <c r="G9" s="6" t="s">
        <v>231</v>
      </c>
      <c r="H9" s="6" t="s">
        <v>225</v>
      </c>
    </row>
    <row r="10" customFormat="false" ht="14.25" hidden="false" customHeight="false" outlineLevel="0" collapsed="false">
      <c r="A10" s="0" t="s">
        <v>251</v>
      </c>
      <c r="B10" s="5" t="n">
        <v>45873</v>
      </c>
      <c r="C10" s="6" t="s">
        <v>227</v>
      </c>
      <c r="D10" s="4" t="s">
        <v>252</v>
      </c>
      <c r="E10" s="6" t="s">
        <v>253</v>
      </c>
      <c r="F10" s="6" t="s">
        <v>254</v>
      </c>
      <c r="G10" s="6" t="s">
        <v>231</v>
      </c>
      <c r="H10" s="6" t="s">
        <v>225</v>
      </c>
    </row>
    <row r="11" customFormat="false" ht="14.25" hidden="false" customHeight="false" outlineLevel="0" collapsed="false">
      <c r="A11" s="0" t="s">
        <v>255</v>
      </c>
      <c r="B11" s="5" t="n">
        <v>45923</v>
      </c>
      <c r="C11" s="6" t="s">
        <v>227</v>
      </c>
      <c r="D11" s="4" t="s">
        <v>256</v>
      </c>
      <c r="E11" s="6" t="s">
        <v>245</v>
      </c>
      <c r="F11" s="6" t="s">
        <v>257</v>
      </c>
      <c r="G11" s="6" t="s">
        <v>231</v>
      </c>
      <c r="H11" s="6" t="s">
        <v>225</v>
      </c>
    </row>
    <row r="12" customFormat="false" ht="14.25" hidden="false" customHeight="false" outlineLevel="0" collapsed="false">
      <c r="A12" s="0" t="s">
        <v>258</v>
      </c>
      <c r="B12" s="5" t="n">
        <v>45982</v>
      </c>
      <c r="C12" s="6" t="s">
        <v>259</v>
      </c>
      <c r="D12" s="4" t="s">
        <v>260</v>
      </c>
      <c r="E12" s="6" t="s">
        <v>245</v>
      </c>
      <c r="F12" s="6" t="s">
        <v>261</v>
      </c>
      <c r="G12" s="6" t="s">
        <v>231</v>
      </c>
      <c r="H12" s="6" t="s">
        <v>225</v>
      </c>
    </row>
    <row r="13" customFormat="false" ht="14.25" hidden="false" customHeight="false" outlineLevel="0" collapsed="false">
      <c r="A13" s="0" t="s">
        <v>262</v>
      </c>
      <c r="B13" s="5" t="n">
        <v>46104</v>
      </c>
      <c r="C13" s="6" t="s">
        <v>233</v>
      </c>
      <c r="D13" s="4" t="s">
        <v>263</v>
      </c>
      <c r="E13" s="6" t="s">
        <v>245</v>
      </c>
      <c r="F13" s="6" t="s">
        <v>264</v>
      </c>
      <c r="G13" s="6" t="s">
        <v>231</v>
      </c>
      <c r="H13" s="6" t="s">
        <v>225</v>
      </c>
    </row>
    <row r="14" customFormat="false" ht="14.25" hidden="false" customHeight="false" outlineLevel="0" collapsed="false">
      <c r="A14" s="0" t="s">
        <v>265</v>
      </c>
      <c r="B14" s="5" t="n">
        <v>46205</v>
      </c>
      <c r="C14" s="6" t="s">
        <v>266</v>
      </c>
      <c r="D14" s="4" t="s">
        <v>267</v>
      </c>
      <c r="E14" s="6" t="s">
        <v>268</v>
      </c>
      <c r="F14" s="6" t="s">
        <v>269</v>
      </c>
      <c r="G14" s="6" t="s">
        <v>270</v>
      </c>
      <c r="H14" s="6" t="s">
        <v>225</v>
      </c>
    </row>
    <row r="15" customFormat="false" ht="41.75" hidden="false" customHeight="false" outlineLevel="0" collapsed="false">
      <c r="A15" s="0" t="s">
        <v>271</v>
      </c>
      <c r="B15" s="5" t="n">
        <v>46242</v>
      </c>
      <c r="C15" s="6" t="s">
        <v>272</v>
      </c>
      <c r="D15" s="4" t="s">
        <v>273</v>
      </c>
      <c r="E15" s="6" t="s">
        <v>274</v>
      </c>
      <c r="F15" s="6" t="s">
        <v>275</v>
      </c>
      <c r="G15" s="6" t="s">
        <v>276</v>
      </c>
      <c r="H15" s="6" t="s">
        <v>277</v>
      </c>
    </row>
    <row r="16" customFormat="false" ht="28.35" hidden="false" customHeight="false" outlineLevel="0" collapsed="false">
      <c r="A16" s="0" t="s">
        <v>278</v>
      </c>
      <c r="B16" s="5" t="n">
        <v>46242</v>
      </c>
      <c r="C16" s="6" t="s">
        <v>272</v>
      </c>
      <c r="D16" s="4" t="s">
        <v>279</v>
      </c>
      <c r="E16" s="6" t="s">
        <v>280</v>
      </c>
      <c r="F16" s="6" t="s">
        <v>281</v>
      </c>
      <c r="G16" s="6" t="s">
        <v>282</v>
      </c>
      <c r="H16" s="6" t="s">
        <v>277</v>
      </c>
    </row>
    <row r="17" customFormat="false" ht="28.35" hidden="false" customHeight="false" outlineLevel="0" collapsed="false">
      <c r="A17" s="0" t="s">
        <v>283</v>
      </c>
      <c r="B17" s="5" t="n">
        <v>46242</v>
      </c>
      <c r="C17" s="6" t="s">
        <v>272</v>
      </c>
      <c r="D17" s="4" t="s">
        <v>284</v>
      </c>
      <c r="E17" s="6" t="s">
        <v>285</v>
      </c>
      <c r="F17" s="6" t="s">
        <v>286</v>
      </c>
      <c r="G17" s="6" t="s">
        <v>287</v>
      </c>
      <c r="H17" s="6" t="s">
        <v>277</v>
      </c>
    </row>
    <row r="18" customFormat="false" ht="28.35" hidden="false" customHeight="false" outlineLevel="0" collapsed="false">
      <c r="A18" s="0" t="s">
        <v>288</v>
      </c>
      <c r="B18" s="5" t="n">
        <v>46242</v>
      </c>
      <c r="C18" s="6" t="s">
        <v>272</v>
      </c>
      <c r="D18" s="4" t="s">
        <v>289</v>
      </c>
      <c r="E18" s="6" t="s">
        <v>290</v>
      </c>
      <c r="F18" s="6" t="s">
        <v>291</v>
      </c>
      <c r="G18" s="6" t="s">
        <v>292</v>
      </c>
      <c r="H18" s="6" t="s">
        <v>277</v>
      </c>
    </row>
    <row r="19" customFormat="false" ht="28.35" hidden="false" customHeight="false" outlineLevel="0" collapsed="false">
      <c r="A19" s="0" t="s">
        <v>293</v>
      </c>
      <c r="B19" s="5" t="n">
        <v>46242</v>
      </c>
      <c r="C19" s="6" t="s">
        <v>272</v>
      </c>
      <c r="D19" s="4" t="s">
        <v>294</v>
      </c>
      <c r="E19" s="6" t="s">
        <v>295</v>
      </c>
      <c r="F19" s="6" t="s">
        <v>296</v>
      </c>
      <c r="G19" s="6" t="s">
        <v>282</v>
      </c>
      <c r="H19" s="6" t="s">
        <v>277</v>
      </c>
    </row>
    <row r="20" customFormat="false" ht="28.35" hidden="false" customHeight="false" outlineLevel="0" collapsed="false">
      <c r="A20" s="0" t="s">
        <v>297</v>
      </c>
      <c r="B20" s="5" t="n">
        <v>46242</v>
      </c>
      <c r="C20" s="6" t="s">
        <v>272</v>
      </c>
      <c r="D20" s="4" t="s">
        <v>298</v>
      </c>
      <c r="E20" s="6" t="s">
        <v>299</v>
      </c>
      <c r="F20" s="6" t="s">
        <v>300</v>
      </c>
      <c r="G20" s="6" t="s">
        <v>301</v>
      </c>
      <c r="H20" s="6" t="s">
        <v>277</v>
      </c>
    </row>
    <row r="21" customFormat="false" ht="41.75" hidden="false" customHeight="false" outlineLevel="0" collapsed="false">
      <c r="A21" s="0" t="s">
        <v>302</v>
      </c>
      <c r="B21" s="5" t="n">
        <v>46242</v>
      </c>
      <c r="C21" s="6" t="s">
        <v>272</v>
      </c>
      <c r="D21" s="4" t="s">
        <v>303</v>
      </c>
      <c r="E21" s="6" t="s">
        <v>304</v>
      </c>
      <c r="F21" s="6" t="s">
        <v>305</v>
      </c>
      <c r="G21" s="6" t="s">
        <v>306</v>
      </c>
      <c r="H21" s="6" t="s">
        <v>277</v>
      </c>
    </row>
    <row r="22" customFormat="false" ht="14.25" hidden="false" customHeight="false" outlineLevel="0" collapsed="false">
      <c r="A22" s="0" t="s">
        <v>307</v>
      </c>
      <c r="B22" s="5"/>
      <c r="D22" s="4"/>
      <c r="F22" s="6" t="s">
        <v>308</v>
      </c>
    </row>
    <row r="23" customFormat="false" ht="14.25" hidden="false" customHeight="false" outlineLevel="0" collapsed="false">
      <c r="A23" s="0" t="s">
        <v>309</v>
      </c>
      <c r="B23" s="5"/>
      <c r="D23" s="4"/>
      <c r="F23" s="6" t="s">
        <v>310</v>
      </c>
    </row>
    <row r="24" customFormat="false" ht="14.25" hidden="false" customHeight="false" outlineLevel="0" collapsed="false">
      <c r="A24" s="0" t="s">
        <v>311</v>
      </c>
      <c r="B24" s="5"/>
      <c r="D24" s="4"/>
      <c r="F24" s="6" t="s">
        <v>312</v>
      </c>
    </row>
    <row r="25" customFormat="false" ht="14.25" hidden="false" customHeight="false" outlineLevel="0" collapsed="false">
      <c r="A25" s="0" t="s">
        <v>313</v>
      </c>
      <c r="B25" s="5"/>
      <c r="D25" s="4"/>
      <c r="F25" s="6" t="s">
        <v>314</v>
      </c>
    </row>
    <row r="26" customFormat="false" ht="14.25" hidden="false" customHeight="false" outlineLevel="0" collapsed="false">
      <c r="A26" s="0" t="s">
        <v>315</v>
      </c>
      <c r="B26" s="5"/>
      <c r="D26" s="4"/>
      <c r="F26" s="6" t="s">
        <v>316</v>
      </c>
    </row>
    <row r="27" customFormat="false" ht="14.25" hidden="false" customHeight="false" outlineLevel="0" collapsed="false">
      <c r="A27" s="0" t="s">
        <v>317</v>
      </c>
      <c r="B27" s="5"/>
      <c r="D27" s="4"/>
      <c r="F27" s="6" t="s">
        <v>318</v>
      </c>
    </row>
    <row r="28" customFormat="false" ht="14.25" hidden="false" customHeight="false" outlineLevel="0" collapsed="false">
      <c r="A28" s="0" t="s">
        <v>319</v>
      </c>
      <c r="B28" s="5"/>
      <c r="D28" s="4"/>
      <c r="F28" s="6" t="s">
        <v>320</v>
      </c>
    </row>
    <row r="29" customFormat="false" ht="14.25" hidden="false" customHeight="false" outlineLevel="0" collapsed="false">
      <c r="A29" s="0" t="s">
        <v>321</v>
      </c>
      <c r="B29" s="5"/>
      <c r="D29" s="4"/>
      <c r="F29" s="6" t="s">
        <v>322</v>
      </c>
    </row>
    <row r="30" customFormat="false" ht="14.25" hidden="false" customHeight="false" outlineLevel="0" collapsed="false">
      <c r="A30" s="0" t="s">
        <v>323</v>
      </c>
      <c r="B30" s="5"/>
      <c r="D30" s="4"/>
      <c r="F30" s="6" t="s">
        <v>324</v>
      </c>
    </row>
    <row r="31" customFormat="false" ht="14.25" hidden="false" customHeight="false" outlineLevel="0" collapsed="false">
      <c r="A31" s="0" t="s">
        <v>325</v>
      </c>
      <c r="B31" s="5"/>
      <c r="D31" s="4"/>
      <c r="F31" s="6" t="s">
        <v>326</v>
      </c>
    </row>
    <row r="32" customFormat="false" ht="14.25" hidden="false" customHeight="false" outlineLevel="0" collapsed="false">
      <c r="A32" s="0" t="s">
        <v>327</v>
      </c>
      <c r="B32" s="5"/>
      <c r="D32" s="4"/>
      <c r="F32" s="6" t="s">
        <v>328</v>
      </c>
    </row>
    <row r="33" customFormat="false" ht="14.25" hidden="false" customHeight="false" outlineLevel="0" collapsed="false">
      <c r="B33" s="5"/>
    </row>
    <row r="34" customFormat="false" ht="14.25" hidden="false" customHeight="false" outlineLevel="0" collapsed="false">
      <c r="B34" s="5"/>
    </row>
    <row r="35" customFormat="false" ht="14.25" hidden="false" customHeight="false" outlineLevel="0" collapsed="false">
      <c r="B35" s="5"/>
    </row>
    <row r="36" customFormat="false" ht="14.25" hidden="false" customHeight="false" outlineLevel="0" collapsed="false">
      <c r="B36" s="5"/>
    </row>
    <row r="37" customFormat="false" ht="14.25" hidden="false" customHeight="false" outlineLevel="0" collapsed="false">
      <c r="B37" s="5"/>
    </row>
    <row r="38" customFormat="false" ht="14.25" hidden="false" customHeight="false" outlineLevel="0" collapsed="false">
      <c r="B38" s="5"/>
    </row>
    <row r="39" customFormat="false" ht="14.25" hidden="false" customHeight="false" outlineLevel="0" collapsed="false">
      <c r="B39" s="5"/>
    </row>
    <row r="40" customFormat="false" ht="14.25" hidden="false" customHeight="false" outlineLevel="0" collapsed="false">
      <c r="B40" s="5"/>
    </row>
    <row r="41" customFormat="false" ht="14.25" hidden="false" customHeight="false" outlineLevel="0" collapsed="false">
      <c r="B41" s="5"/>
    </row>
    <row r="42" customFormat="false" ht="14.25" hidden="false" customHeight="false" outlineLevel="0" collapsed="false">
      <c r="B42" s="5"/>
    </row>
    <row r="43" customFormat="false" ht="14.25" hidden="false" customHeight="false" outlineLevel="0" collapsed="false">
      <c r="B43" s="5"/>
    </row>
    <row r="44" customFormat="false" ht="14.25" hidden="false" customHeight="false" outlineLevel="0" collapsed="false">
      <c r="B44" s="5"/>
    </row>
    <row r="45" customFormat="false" ht="14.25" hidden="false" customHeight="false" outlineLevel="0" collapsed="false">
      <c r="B45" s="5"/>
    </row>
    <row r="46" customFormat="false" ht="14.25" hidden="false" customHeight="false" outlineLevel="0" collapsed="false">
      <c r="B46" s="5"/>
    </row>
    <row r="47" customFormat="false" ht="14.25" hidden="false" customHeight="false" outlineLevel="0" collapsed="false">
      <c r="B47" s="5"/>
    </row>
    <row r="48" customFormat="false" ht="14.25" hidden="false" customHeight="false" outlineLevel="0" collapsed="false">
      <c r="B48" s="5"/>
    </row>
    <row r="49" customFormat="false" ht="14.25" hidden="false" customHeight="false" outlineLevel="0" collapsed="false">
      <c r="B49" s="5"/>
    </row>
    <row r="50" customFormat="false" ht="14.25" hidden="false" customHeight="false" outlineLevel="0" collapsed="false">
      <c r="B50" s="5"/>
    </row>
    <row r="51" customFormat="false" ht="14.25" hidden="false" customHeight="false" outlineLevel="0" collapsed="false">
      <c r="B51" s="5"/>
    </row>
    <row r="52" customFormat="false" ht="14.25" hidden="false" customHeight="false" outlineLevel="0" collapsed="false">
      <c r="B52" s="5"/>
    </row>
    <row r="53" customFormat="false" ht="14.25" hidden="false" customHeight="false" outlineLevel="0" collapsed="false">
      <c r="B53" s="5"/>
    </row>
    <row r="54" customFormat="false" ht="14.25" hidden="false" customHeight="false" outlineLevel="0" collapsed="false">
      <c r="B54" s="5"/>
    </row>
    <row r="55" customFormat="false" ht="14.25" hidden="false" customHeight="false" outlineLevel="0" collapsed="false">
      <c r="B55" s="5"/>
    </row>
    <row r="56" customFormat="false" ht="14.25" hidden="false" customHeight="false" outlineLevel="0" collapsed="false">
      <c r="B56" s="5"/>
    </row>
    <row r="57" customFormat="false" ht="14.25" hidden="false" customHeight="false" outlineLevel="0" collapsed="false">
      <c r="B57" s="5"/>
    </row>
    <row r="58" customFormat="false" ht="14.25" hidden="false" customHeight="false" outlineLevel="0" collapsed="false">
      <c r="B58" s="5"/>
    </row>
    <row r="59" customFormat="false" ht="14.25" hidden="false" customHeight="false" outlineLevel="0" collapsed="false">
      <c r="B59" s="5"/>
    </row>
    <row r="60" customFormat="false" ht="14.25" hidden="false" customHeight="false" outlineLevel="0" collapsed="false">
      <c r="B60" s="5"/>
    </row>
    <row r="61" customFormat="false" ht="14.25" hidden="false" customHeight="false" outlineLevel="0" collapsed="false">
      <c r="B61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8" activeCellId="0" sqref="H18"/>
    </sheetView>
  </sheetViews>
  <sheetFormatPr defaultColWidth="8.6796875" defaultRowHeight="14.25" zeroHeight="false" outlineLevelRow="0" outlineLevelCol="0"/>
  <cols>
    <col collapsed="false" customWidth="true" hidden="false" outlineLevel="0" max="1" min="1" style="0" width="18.67"/>
    <col collapsed="false" customWidth="true" hidden="false" outlineLevel="0" max="2" min="2" style="0" width="20.78"/>
    <col collapsed="false" customWidth="true" hidden="false" outlineLevel="0" max="3" min="3" style="0" width="11.89"/>
    <col collapsed="false" customWidth="true" hidden="false" outlineLevel="0" max="4" min="4" style="0" width="23.33"/>
    <col collapsed="false" customWidth="true" hidden="false" outlineLevel="0" max="5" min="5" style="0" width="13.77"/>
    <col collapsed="false" customWidth="true" hidden="false" outlineLevel="0" max="6" min="6" style="0" width="13.22"/>
    <col collapsed="false" customWidth="true" hidden="false" outlineLevel="0" max="7" min="7" style="0" width="16.11"/>
    <col collapsed="false" customWidth="true" hidden="false" outlineLevel="0" max="8" min="8" style="0" width="16"/>
  </cols>
  <sheetData>
    <row r="1" customFormat="false" ht="14.25" hidden="false" customHeight="false" outlineLevel="0" collapsed="false">
      <c r="A1" s="0" t="s">
        <v>329</v>
      </c>
      <c r="B1" s="0" t="s">
        <v>330</v>
      </c>
      <c r="C1" s="0" t="s">
        <v>208</v>
      </c>
      <c r="D1" s="0" t="s">
        <v>331</v>
      </c>
      <c r="E1" s="0" t="s">
        <v>332</v>
      </c>
      <c r="F1" s="0" t="s">
        <v>333</v>
      </c>
      <c r="G1" s="0" t="s">
        <v>21</v>
      </c>
      <c r="H1" s="0" t="s">
        <v>334</v>
      </c>
    </row>
    <row r="2" customFormat="false" ht="14.25" hidden="false" customHeight="false" outlineLevel="0" collapsed="false">
      <c r="A2" s="0" t="n">
        <v>1</v>
      </c>
      <c r="B2" s="0" t="s">
        <v>335</v>
      </c>
      <c r="C2" s="5" t="n">
        <v>46029</v>
      </c>
      <c r="D2" s="6" t="s">
        <v>336</v>
      </c>
      <c r="E2" s="6" t="s">
        <v>337</v>
      </c>
      <c r="F2" s="6" t="s">
        <v>338</v>
      </c>
      <c r="G2" s="6" t="s">
        <v>339</v>
      </c>
      <c r="H2" s="6" t="s">
        <v>340</v>
      </c>
    </row>
    <row r="3" customFormat="false" ht="14.25" hidden="false" customHeight="false" outlineLevel="0" collapsed="false">
      <c r="A3" s="0" t="n">
        <v>2</v>
      </c>
      <c r="B3" s="0" t="s">
        <v>131</v>
      </c>
      <c r="C3" s="5" t="n">
        <v>46043</v>
      </c>
      <c r="D3" s="6" t="s">
        <v>341</v>
      </c>
      <c r="E3" s="6" t="s">
        <v>337</v>
      </c>
      <c r="F3" s="6" t="s">
        <v>342</v>
      </c>
      <c r="G3" s="6" t="s">
        <v>339</v>
      </c>
      <c r="H3" s="6" t="s">
        <v>340</v>
      </c>
    </row>
    <row r="4" customFormat="false" ht="14.25" hidden="false" customHeight="false" outlineLevel="0" collapsed="false">
      <c r="A4" s="0" t="n">
        <v>3</v>
      </c>
      <c r="B4" s="0" t="s">
        <v>343</v>
      </c>
      <c r="C4" s="5" t="n">
        <v>46057</v>
      </c>
      <c r="D4" s="6" t="s">
        <v>344</v>
      </c>
      <c r="E4" s="6" t="s">
        <v>337</v>
      </c>
      <c r="F4" s="6" t="s">
        <v>338</v>
      </c>
      <c r="G4" s="6" t="s">
        <v>339</v>
      </c>
      <c r="H4" s="6" t="s">
        <v>340</v>
      </c>
    </row>
    <row r="5" customFormat="false" ht="14.25" hidden="false" customHeight="false" outlineLevel="0" collapsed="false">
      <c r="A5" s="0" t="n">
        <v>4</v>
      </c>
      <c r="B5" s="0" t="s">
        <v>345</v>
      </c>
      <c r="C5" s="5" t="n">
        <v>46080</v>
      </c>
      <c r="D5" s="6" t="s">
        <v>346</v>
      </c>
      <c r="E5" s="6" t="s">
        <v>337</v>
      </c>
      <c r="F5" s="6" t="s">
        <v>338</v>
      </c>
      <c r="G5" s="6" t="s">
        <v>339</v>
      </c>
      <c r="H5" s="6" t="s">
        <v>340</v>
      </c>
    </row>
    <row r="6" customFormat="false" ht="14.25" hidden="false" customHeight="false" outlineLevel="0" collapsed="false">
      <c r="A6" s="0" t="n">
        <v>5</v>
      </c>
      <c r="B6" s="0" t="s">
        <v>347</v>
      </c>
      <c r="C6" s="5" t="n">
        <v>46093</v>
      </c>
      <c r="D6" s="6" t="s">
        <v>348</v>
      </c>
      <c r="E6" s="6" t="s">
        <v>337</v>
      </c>
      <c r="F6" s="6" t="s">
        <v>338</v>
      </c>
      <c r="G6" s="6" t="s">
        <v>339</v>
      </c>
      <c r="H6" s="6" t="s">
        <v>340</v>
      </c>
    </row>
    <row r="7" customFormat="false" ht="14.25" hidden="false" customHeight="false" outlineLevel="0" collapsed="false">
      <c r="A7" s="0" t="n">
        <v>6</v>
      </c>
      <c r="B7" s="0" t="s">
        <v>349</v>
      </c>
      <c r="C7" s="5" t="n">
        <v>46119</v>
      </c>
      <c r="D7" s="6" t="s">
        <v>350</v>
      </c>
      <c r="E7" s="6" t="s">
        <v>337</v>
      </c>
      <c r="F7" s="6" t="s">
        <v>338</v>
      </c>
      <c r="G7" s="6" t="s">
        <v>339</v>
      </c>
      <c r="H7" s="6" t="s">
        <v>340</v>
      </c>
    </row>
    <row r="8" customFormat="false" ht="14.25" hidden="false" customHeight="false" outlineLevel="0" collapsed="false">
      <c r="A8" s="0" t="n">
        <v>7</v>
      </c>
      <c r="B8" s="0" t="s">
        <v>351</v>
      </c>
      <c r="C8" s="5" t="n">
        <v>46142</v>
      </c>
      <c r="D8" s="6" t="s">
        <v>352</v>
      </c>
      <c r="E8" s="6" t="s">
        <v>337</v>
      </c>
      <c r="F8" s="6" t="s">
        <v>338</v>
      </c>
      <c r="G8" s="6" t="s">
        <v>339</v>
      </c>
      <c r="H8" s="6" t="s">
        <v>340</v>
      </c>
    </row>
    <row r="9" customFormat="false" ht="14.25" hidden="false" customHeight="false" outlineLevel="0" collapsed="false">
      <c r="A9" s="0" t="n">
        <v>8</v>
      </c>
      <c r="B9" s="0" t="s">
        <v>353</v>
      </c>
      <c r="C9" s="5" t="n">
        <v>46148</v>
      </c>
      <c r="D9" s="6" t="s">
        <v>354</v>
      </c>
      <c r="E9" s="6" t="s">
        <v>337</v>
      </c>
      <c r="F9" s="6" t="s">
        <v>338</v>
      </c>
      <c r="G9" s="6" t="s">
        <v>339</v>
      </c>
      <c r="H9" s="6" t="s">
        <v>340</v>
      </c>
    </row>
    <row r="10" customFormat="false" ht="14.25" hidden="false" customHeight="false" outlineLevel="0" collapsed="false">
      <c r="A10" s="0" t="n">
        <v>9</v>
      </c>
      <c r="B10" s="0" t="s">
        <v>355</v>
      </c>
      <c r="C10" s="5" t="n">
        <v>46160</v>
      </c>
      <c r="D10" s="6" t="s">
        <v>356</v>
      </c>
      <c r="E10" s="6" t="s">
        <v>337</v>
      </c>
      <c r="F10" s="6" t="s">
        <v>338</v>
      </c>
      <c r="G10" s="6" t="s">
        <v>339</v>
      </c>
      <c r="H10" s="6" t="s">
        <v>340</v>
      </c>
    </row>
    <row r="11" customFormat="false" ht="14.25" hidden="false" customHeight="false" outlineLevel="0" collapsed="false">
      <c r="A11" s="0" t="n">
        <v>10</v>
      </c>
      <c r="B11" s="0" t="s">
        <v>176</v>
      </c>
      <c r="C11" s="5" t="n">
        <v>46205</v>
      </c>
      <c r="D11" s="6" t="s">
        <v>357</v>
      </c>
      <c r="E11" s="6" t="s">
        <v>337</v>
      </c>
      <c r="F11" s="6" t="s">
        <v>338</v>
      </c>
      <c r="G11" s="6" t="s">
        <v>339</v>
      </c>
      <c r="H11" s="6" t="s">
        <v>340</v>
      </c>
    </row>
    <row r="12" customFormat="false" ht="14.25" hidden="false" customHeight="false" outlineLevel="0" collapsed="false">
      <c r="A12" s="0" t="n">
        <v>11</v>
      </c>
      <c r="B12" s="0" t="s">
        <v>358</v>
      </c>
      <c r="C12" s="5" t="n">
        <v>46205</v>
      </c>
      <c r="D12" s="6" t="s">
        <v>352</v>
      </c>
      <c r="E12" s="6" t="s">
        <v>337</v>
      </c>
      <c r="F12" s="6" t="s">
        <v>338</v>
      </c>
      <c r="G12" s="6" t="s">
        <v>339</v>
      </c>
      <c r="H12" s="6" t="s">
        <v>340</v>
      </c>
    </row>
    <row r="13" customFormat="false" ht="14.25" hidden="false" customHeight="false" outlineLevel="0" collapsed="false">
      <c r="A13" s="0" t="n">
        <v>12</v>
      </c>
      <c r="B13" s="0" t="s">
        <v>131</v>
      </c>
      <c r="C13" s="5" t="n">
        <v>46212</v>
      </c>
      <c r="D13" s="6" t="s">
        <v>359</v>
      </c>
      <c r="E13" s="6" t="s">
        <v>337</v>
      </c>
      <c r="F13" s="6" t="s">
        <v>338</v>
      </c>
      <c r="G13" s="6" t="s">
        <v>339</v>
      </c>
      <c r="H13" s="6" t="s">
        <v>340</v>
      </c>
    </row>
    <row r="14" customFormat="false" ht="14.25" hidden="false" customHeight="false" outlineLevel="0" collapsed="false">
      <c r="A14" s="0" t="n">
        <v>13</v>
      </c>
      <c r="B14" s="0" t="s">
        <v>176</v>
      </c>
      <c r="C14" s="5" t="n">
        <v>46246</v>
      </c>
      <c r="D14" s="6" t="s">
        <v>360</v>
      </c>
      <c r="E14" s="6" t="s">
        <v>337</v>
      </c>
      <c r="F14" s="6" t="s">
        <v>338</v>
      </c>
      <c r="G14" s="6" t="s">
        <v>339</v>
      </c>
      <c r="H14" s="6" t="s">
        <v>340</v>
      </c>
    </row>
    <row r="15" customFormat="false" ht="14.25" hidden="false" customHeight="false" outlineLevel="0" collapsed="false">
      <c r="A15" s="0" t="n">
        <v>14</v>
      </c>
      <c r="B15" s="0" t="s">
        <v>131</v>
      </c>
      <c r="C15" s="5" t="n">
        <v>46248</v>
      </c>
      <c r="D15" s="6" t="s">
        <v>361</v>
      </c>
      <c r="E15" s="6" t="s">
        <v>337</v>
      </c>
      <c r="F15" s="6" t="s">
        <v>338</v>
      </c>
      <c r="G15" s="6" t="s">
        <v>339</v>
      </c>
      <c r="H15" s="6" t="s">
        <v>340</v>
      </c>
    </row>
    <row r="16" customFormat="false" ht="14.25" hidden="false" customHeight="false" outlineLevel="0" collapsed="false">
      <c r="A16" s="0" t="n">
        <v>15</v>
      </c>
      <c r="B16" s="0" t="s">
        <v>362</v>
      </c>
      <c r="C16" s="5" t="n">
        <v>46252</v>
      </c>
      <c r="D16" s="6" t="s">
        <v>363</v>
      </c>
      <c r="E16" s="6" t="s">
        <v>337</v>
      </c>
      <c r="F16" s="6" t="s">
        <v>338</v>
      </c>
      <c r="G16" s="6" t="s">
        <v>339</v>
      </c>
      <c r="H16" s="6" t="s">
        <v>340</v>
      </c>
    </row>
    <row r="17" customFormat="false" ht="14.25" hidden="false" customHeight="false" outlineLevel="0" collapsed="false">
      <c r="A17" s="0" t="n">
        <v>16</v>
      </c>
      <c r="B17" s="0" t="s">
        <v>364</v>
      </c>
      <c r="C17" s="5" t="n">
        <v>46254</v>
      </c>
      <c r="D17" s="6" t="s">
        <v>360</v>
      </c>
      <c r="E17" s="6" t="s">
        <v>337</v>
      </c>
      <c r="F17" s="6" t="s">
        <v>338</v>
      </c>
      <c r="G17" s="6" t="s">
        <v>339</v>
      </c>
      <c r="H17" s="6" t="s">
        <v>340</v>
      </c>
    </row>
    <row r="18" customFormat="false" ht="14.25" hidden="false" customHeight="false" outlineLevel="0" collapsed="false">
      <c r="A18" s="0" t="n">
        <v>17</v>
      </c>
    </row>
    <row r="19" customFormat="false" ht="14.25" hidden="false" customHeight="false" outlineLevel="0" collapsed="false">
      <c r="A19" s="0" t="n">
        <v>18</v>
      </c>
    </row>
    <row r="20" customFormat="false" ht="14.25" hidden="false" customHeight="false" outlineLevel="0" collapsed="false">
      <c r="A20" s="0" t="n">
        <v>19</v>
      </c>
    </row>
    <row r="21" customFormat="false" ht="14.25" hidden="false" customHeight="false" outlineLevel="0" collapsed="false">
      <c r="A21" s="0" t="n">
        <v>20</v>
      </c>
    </row>
    <row r="22" customFormat="false" ht="14.25" hidden="false" customHeight="false" outlineLevel="0" collapsed="false">
      <c r="A22" s="0" t="n">
        <v>21</v>
      </c>
    </row>
    <row r="23" customFormat="false" ht="14.25" hidden="false" customHeight="false" outlineLevel="0" collapsed="false">
      <c r="A23" s="0" t="n">
        <v>22</v>
      </c>
    </row>
    <row r="24" customFormat="false" ht="14.25" hidden="false" customHeight="false" outlineLevel="0" collapsed="false">
      <c r="A24" s="0" t="n">
        <v>23</v>
      </c>
    </row>
    <row r="25" customFormat="false" ht="14.25" hidden="false" customHeight="false" outlineLevel="0" collapsed="false">
      <c r="A25" s="0" t="n">
        <v>24</v>
      </c>
    </row>
    <row r="26" customFormat="false" ht="14.25" hidden="false" customHeight="false" outlineLevel="0" collapsed="false">
      <c r="A26" s="0" t="n">
        <v>25</v>
      </c>
    </row>
    <row r="27" customFormat="false" ht="14.25" hidden="false" customHeight="false" outlineLevel="0" collapsed="false">
      <c r="A27" s="0" t="n">
        <v>26</v>
      </c>
    </row>
    <row r="28" customFormat="false" ht="14.25" hidden="false" customHeight="false" outlineLevel="0" collapsed="false">
      <c r="A28" s="0" t="n">
        <v>27</v>
      </c>
    </row>
    <row r="29" customFormat="false" ht="14.25" hidden="false" customHeight="false" outlineLevel="0" collapsed="false">
      <c r="A29" s="0" t="n">
        <v>28</v>
      </c>
    </row>
    <row r="30" customFormat="false" ht="14.25" hidden="false" customHeight="false" outlineLevel="0" collapsed="false">
      <c r="A30" s="0" t="n">
        <v>29</v>
      </c>
    </row>
    <row r="31" customFormat="false" ht="14.25" hidden="false" customHeight="false" outlineLevel="0" collapsed="false">
      <c r="A31" s="0" t="n">
        <v>30</v>
      </c>
    </row>
    <row r="32" customFormat="false" ht="14.25" hidden="false" customHeight="false" outlineLevel="0" collapsed="false">
      <c r="A32" s="0" t="n">
        <v>31</v>
      </c>
    </row>
    <row r="33" customFormat="false" ht="14.25" hidden="false" customHeight="false" outlineLevel="0" collapsed="false">
      <c r="A33" s="0" t="n">
        <v>32</v>
      </c>
    </row>
    <row r="34" customFormat="false" ht="14.25" hidden="false" customHeight="false" outlineLevel="0" collapsed="false">
      <c r="A34" s="0" t="n">
        <v>33</v>
      </c>
    </row>
    <row r="35" customFormat="false" ht="14.25" hidden="false" customHeight="false" outlineLevel="0" collapsed="false">
      <c r="A35" s="0" t="n">
        <v>34</v>
      </c>
    </row>
    <row r="36" customFormat="false" ht="14.25" hidden="false" customHeight="false" outlineLevel="0" collapsed="false">
      <c r="A36" s="0" t="n">
        <v>35</v>
      </c>
    </row>
    <row r="37" customFormat="false" ht="14.25" hidden="false" customHeight="false" outlineLevel="0" collapsed="false">
      <c r="A37" s="0" t="n">
        <v>36</v>
      </c>
    </row>
    <row r="38" customFormat="false" ht="14.25" hidden="false" customHeight="false" outlineLevel="0" collapsed="false">
      <c r="A38" s="0" t="n">
        <v>37</v>
      </c>
    </row>
    <row r="39" customFormat="false" ht="14.25" hidden="false" customHeight="false" outlineLevel="0" collapsed="false">
      <c r="A39" s="0" t="n">
        <v>38</v>
      </c>
    </row>
    <row r="40" customFormat="false" ht="14.25" hidden="false" customHeight="false" outlineLevel="0" collapsed="false">
      <c r="A40" s="0" t="n">
        <v>39</v>
      </c>
    </row>
    <row r="41" customFormat="false" ht="14.25" hidden="false" customHeight="false" outlineLevel="0" collapsed="false">
      <c r="A41" s="0" t="n">
        <v>40</v>
      </c>
    </row>
    <row r="42" customFormat="false" ht="14.25" hidden="false" customHeight="false" outlineLevel="0" collapsed="false">
      <c r="A42" s="0" t="n">
        <v>41</v>
      </c>
    </row>
    <row r="43" customFormat="false" ht="14.25" hidden="false" customHeight="false" outlineLevel="0" collapsed="false">
      <c r="A43" s="0" t="n">
        <v>42</v>
      </c>
    </row>
    <row r="44" customFormat="false" ht="14.25" hidden="false" customHeight="false" outlineLevel="0" collapsed="false">
      <c r="A44" s="0" t="n">
        <v>43</v>
      </c>
    </row>
    <row r="45" customFormat="false" ht="14.25" hidden="false" customHeight="false" outlineLevel="0" collapsed="false">
      <c r="A45" s="0" t="n">
        <v>44</v>
      </c>
    </row>
    <row r="46" customFormat="false" ht="14.25" hidden="false" customHeight="false" outlineLevel="0" collapsed="false">
      <c r="A46" s="0" t="n">
        <v>45</v>
      </c>
    </row>
    <row r="47" customFormat="false" ht="14.25" hidden="false" customHeight="false" outlineLevel="0" collapsed="false">
      <c r="A47" s="0" t="n">
        <v>46</v>
      </c>
    </row>
    <row r="48" customFormat="false" ht="14.25" hidden="false" customHeight="false" outlineLevel="0" collapsed="false">
      <c r="A48" s="0" t="n">
        <v>47</v>
      </c>
    </row>
    <row r="49" customFormat="false" ht="14.25" hidden="false" customHeight="false" outlineLevel="0" collapsed="false">
      <c r="A49" s="0" t="n">
        <v>48</v>
      </c>
    </row>
    <row r="50" customFormat="false" ht="14.25" hidden="false" customHeight="false" outlineLevel="0" collapsed="false">
      <c r="A50" s="0" t="n">
        <v>49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1"/>
  <sheetViews>
    <sheetView showFormulas="false" showGridLines="true" showRowColHeaders="true" showZeros="true" rightToLeft="false" tabSelected="false" showOutlineSymbols="true" defaultGridColor="true" view="normal" topLeftCell="E1" colorId="64" zoomScale="100" zoomScaleNormal="100" zoomScalePageLayoutView="100" workbookViewId="0">
      <selection pane="topLeft" activeCell="J15" activeCellId="0" sqref="J15"/>
    </sheetView>
  </sheetViews>
  <sheetFormatPr defaultColWidth="8.6796875" defaultRowHeight="14.25" zeroHeight="false" outlineLevelRow="0" outlineLevelCol="0"/>
  <cols>
    <col collapsed="false" customWidth="true" hidden="false" outlineLevel="0" max="2" min="2" style="0" width="13.77"/>
    <col collapsed="false" customWidth="true" hidden="false" outlineLevel="0" max="3" min="3" style="0" width="18.56"/>
    <col collapsed="false" customWidth="true" hidden="false" outlineLevel="0" max="4" min="4" style="0" width="42.78"/>
    <col collapsed="false" customWidth="true" hidden="false" outlineLevel="0" max="5" min="5" style="0" width="50.22"/>
    <col collapsed="false" customWidth="true" hidden="false" outlineLevel="0" max="6" min="6" style="0" width="24.78"/>
    <col collapsed="false" customWidth="true" hidden="false" outlineLevel="0" max="7" min="7" style="0" width="10.44"/>
    <col collapsed="false" customWidth="true" hidden="false" outlineLevel="0" max="8" min="8" style="0" width="27.77"/>
    <col collapsed="false" customWidth="true" hidden="false" outlineLevel="0" max="9" min="9" style="0" width="29.88"/>
  </cols>
  <sheetData>
    <row r="1" customFormat="false" ht="14.25" hidden="false" customHeight="false" outlineLevel="0" collapsed="false">
      <c r="A1" s="0" t="s">
        <v>365</v>
      </c>
      <c r="B1" s="0" t="s">
        <v>366</v>
      </c>
      <c r="C1" s="0" t="s">
        <v>367</v>
      </c>
      <c r="D1" s="0" t="s">
        <v>368</v>
      </c>
      <c r="E1" s="0" t="s">
        <v>369</v>
      </c>
      <c r="F1" s="0" t="s">
        <v>18</v>
      </c>
      <c r="G1" s="0" t="s">
        <v>370</v>
      </c>
      <c r="H1" s="0" t="s">
        <v>371</v>
      </c>
      <c r="I1" s="0" t="s">
        <v>372</v>
      </c>
      <c r="J1" s="0" t="s">
        <v>21</v>
      </c>
      <c r="K1" s="0" t="s">
        <v>373</v>
      </c>
    </row>
    <row r="2" customFormat="false" ht="14.25" hidden="false" customHeight="false" outlineLevel="0" collapsed="false">
      <c r="A2" s="0" t="s">
        <v>216</v>
      </c>
      <c r="B2" s="0" t="s">
        <v>212</v>
      </c>
      <c r="C2" s="5" t="n">
        <v>46057.7674644676</v>
      </c>
      <c r="D2" s="6" t="s">
        <v>374</v>
      </c>
      <c r="E2" s="6" t="s">
        <v>375</v>
      </c>
      <c r="F2" s="6" t="s">
        <v>217</v>
      </c>
      <c r="G2" s="5" t="n">
        <v>46122.7674644676</v>
      </c>
      <c r="H2" s="5" t="n">
        <v>46145.7674644676</v>
      </c>
      <c r="I2" s="6" t="s">
        <v>376</v>
      </c>
      <c r="J2" s="6" t="s">
        <v>277</v>
      </c>
    </row>
    <row r="3" customFormat="false" ht="14.25" hidden="false" customHeight="false" outlineLevel="0" collapsed="false">
      <c r="A3" s="0" t="s">
        <v>223</v>
      </c>
      <c r="B3" s="0" t="s">
        <v>219</v>
      </c>
      <c r="C3" s="5" t="n">
        <v>45681</v>
      </c>
      <c r="D3" s="6" t="s">
        <v>377</v>
      </c>
      <c r="E3" s="6" t="s">
        <v>378</v>
      </c>
      <c r="F3" s="6" t="s">
        <v>224</v>
      </c>
      <c r="G3" s="5" t="n">
        <v>45681</v>
      </c>
      <c r="H3" s="5" t="n">
        <v>45681</v>
      </c>
      <c r="I3" s="6" t="s">
        <v>379</v>
      </c>
      <c r="J3" s="6" t="s">
        <v>225</v>
      </c>
    </row>
    <row r="4" customFormat="false" ht="14.25" hidden="false" customHeight="false" outlineLevel="0" collapsed="false">
      <c r="A4" s="0" t="s">
        <v>230</v>
      </c>
      <c r="B4" s="0" t="s">
        <v>226</v>
      </c>
      <c r="C4" s="5" t="n">
        <v>45680</v>
      </c>
      <c r="D4" s="6" t="s">
        <v>380</v>
      </c>
      <c r="E4" s="6" t="s">
        <v>381</v>
      </c>
      <c r="F4" s="6" t="s">
        <v>382</v>
      </c>
      <c r="G4" s="5" t="n">
        <v>45682</v>
      </c>
      <c r="H4" s="5" t="n">
        <v>45687</v>
      </c>
      <c r="I4" s="6" t="s">
        <v>379</v>
      </c>
      <c r="J4" s="6" t="s">
        <v>383</v>
      </c>
      <c r="K4" s="0" t="n">
        <v>1037</v>
      </c>
    </row>
    <row r="5" customFormat="false" ht="14.25" hidden="false" customHeight="false" outlineLevel="0" collapsed="false">
      <c r="A5" s="0" t="s">
        <v>235</v>
      </c>
      <c r="B5" s="0" t="s">
        <v>232</v>
      </c>
      <c r="C5" s="5" t="n">
        <v>45756</v>
      </c>
      <c r="D5" s="6" t="s">
        <v>384</v>
      </c>
      <c r="E5" s="6" t="s">
        <v>385</v>
      </c>
      <c r="F5" s="6" t="s">
        <v>382</v>
      </c>
      <c r="G5" s="5" t="n">
        <v>45765</v>
      </c>
      <c r="H5" s="5" t="n">
        <v>45765</v>
      </c>
      <c r="I5" s="6" t="s">
        <v>379</v>
      </c>
      <c r="J5" s="6" t="s">
        <v>383</v>
      </c>
      <c r="K5" s="0" t="n">
        <v>1038</v>
      </c>
    </row>
    <row r="6" customFormat="false" ht="14.25" hidden="false" customHeight="false" outlineLevel="0" collapsed="false">
      <c r="A6" s="0" t="s">
        <v>238</v>
      </c>
      <c r="B6" s="0" t="s">
        <v>236</v>
      </c>
      <c r="C6" s="5" t="n">
        <v>45758</v>
      </c>
      <c r="D6" s="6" t="s">
        <v>384</v>
      </c>
      <c r="E6" s="6" t="s">
        <v>385</v>
      </c>
      <c r="F6" s="6" t="s">
        <v>382</v>
      </c>
      <c r="G6" s="5" t="n">
        <v>45762</v>
      </c>
      <c r="H6" s="5" t="n">
        <v>45762</v>
      </c>
      <c r="I6" s="6" t="s">
        <v>379</v>
      </c>
      <c r="J6" s="6" t="s">
        <v>225</v>
      </c>
      <c r="K6" s="0" t="n">
        <v>1039</v>
      </c>
    </row>
    <row r="7" customFormat="false" ht="14.25" hidden="false" customHeight="false" outlineLevel="0" collapsed="false">
      <c r="A7" s="0" t="s">
        <v>241</v>
      </c>
      <c r="B7" s="0" t="s">
        <v>239</v>
      </c>
      <c r="C7" s="5" t="n">
        <v>45826</v>
      </c>
      <c r="D7" s="6" t="s">
        <v>240</v>
      </c>
      <c r="E7" s="6" t="s">
        <v>385</v>
      </c>
      <c r="F7" s="6" t="s">
        <v>382</v>
      </c>
      <c r="G7" s="5" t="n">
        <v>45831</v>
      </c>
      <c r="H7" s="5" t="n">
        <v>45831</v>
      </c>
      <c r="I7" s="6" t="s">
        <v>379</v>
      </c>
      <c r="J7" s="6" t="s">
        <v>225</v>
      </c>
      <c r="K7" s="0" t="n">
        <v>1040</v>
      </c>
    </row>
    <row r="8" customFormat="false" ht="14.25" hidden="false" customHeight="false" outlineLevel="0" collapsed="false">
      <c r="A8" s="0" t="s">
        <v>246</v>
      </c>
      <c r="B8" s="0" t="s">
        <v>242</v>
      </c>
      <c r="C8" s="5" t="n">
        <v>45826</v>
      </c>
      <c r="D8" s="6" t="s">
        <v>386</v>
      </c>
      <c r="E8" s="6" t="s">
        <v>245</v>
      </c>
      <c r="F8" s="6" t="s">
        <v>382</v>
      </c>
      <c r="G8" s="5" t="n">
        <v>45827</v>
      </c>
      <c r="H8" s="5" t="n">
        <v>45827</v>
      </c>
      <c r="I8" s="6" t="s">
        <v>379</v>
      </c>
      <c r="J8" s="6" t="s">
        <v>225</v>
      </c>
      <c r="K8" s="0" t="n">
        <v>1041</v>
      </c>
    </row>
    <row r="9" customFormat="false" ht="14.25" hidden="false" customHeight="false" outlineLevel="0" collapsed="false">
      <c r="A9" s="0" t="s">
        <v>250</v>
      </c>
      <c r="B9" s="0" t="s">
        <v>247</v>
      </c>
      <c r="C9" s="5" t="n">
        <v>45827</v>
      </c>
      <c r="D9" s="6" t="s">
        <v>386</v>
      </c>
      <c r="E9" s="6" t="s">
        <v>387</v>
      </c>
      <c r="F9" s="6" t="s">
        <v>382</v>
      </c>
      <c r="G9" s="5" t="n">
        <v>45833</v>
      </c>
      <c r="H9" s="5" t="n">
        <v>45833</v>
      </c>
      <c r="I9" s="6" t="s">
        <v>379</v>
      </c>
      <c r="J9" s="6" t="s">
        <v>225</v>
      </c>
      <c r="K9" s="0" t="n">
        <v>1042</v>
      </c>
    </row>
    <row r="10" customFormat="false" ht="14.25" hidden="false" customHeight="false" outlineLevel="0" collapsed="false">
      <c r="A10" s="0" t="s">
        <v>254</v>
      </c>
      <c r="B10" s="0" t="s">
        <v>251</v>
      </c>
      <c r="C10" s="5" t="n">
        <v>45873</v>
      </c>
      <c r="D10" s="6" t="s">
        <v>252</v>
      </c>
      <c r="E10" s="6" t="s">
        <v>388</v>
      </c>
      <c r="F10" s="6" t="s">
        <v>382</v>
      </c>
      <c r="G10" s="5" t="n">
        <v>45879</v>
      </c>
      <c r="H10" s="5" t="n">
        <v>45879</v>
      </c>
      <c r="I10" s="6" t="s">
        <v>379</v>
      </c>
      <c r="J10" s="6" t="s">
        <v>225</v>
      </c>
      <c r="K10" s="0" t="n">
        <v>1043</v>
      </c>
    </row>
    <row r="11" customFormat="false" ht="14.25" hidden="false" customHeight="false" outlineLevel="0" collapsed="false">
      <c r="A11" s="0" t="s">
        <v>257</v>
      </c>
      <c r="B11" s="0" t="s">
        <v>255</v>
      </c>
      <c r="C11" s="5" t="n">
        <v>45923</v>
      </c>
      <c r="D11" s="6" t="s">
        <v>256</v>
      </c>
      <c r="E11" s="6" t="s">
        <v>245</v>
      </c>
      <c r="F11" s="6" t="s">
        <v>382</v>
      </c>
      <c r="G11" s="5" t="n">
        <v>45930</v>
      </c>
      <c r="H11" s="5" t="n">
        <v>45930</v>
      </c>
      <c r="I11" s="6" t="s">
        <v>379</v>
      </c>
      <c r="J11" s="6" t="s">
        <v>225</v>
      </c>
      <c r="K11" s="0" t="n">
        <v>1044</v>
      </c>
    </row>
    <row r="12" customFormat="false" ht="14.25" hidden="false" customHeight="false" outlineLevel="0" collapsed="false">
      <c r="A12" s="0" t="s">
        <v>261</v>
      </c>
      <c r="B12" s="0" t="s">
        <v>258</v>
      </c>
      <c r="C12" s="5" t="n">
        <v>45982</v>
      </c>
      <c r="D12" s="6" t="s">
        <v>260</v>
      </c>
      <c r="E12" s="6" t="s">
        <v>245</v>
      </c>
      <c r="F12" s="6" t="s">
        <v>382</v>
      </c>
      <c r="G12" s="5" t="n">
        <v>45986</v>
      </c>
      <c r="H12" s="5" t="n">
        <v>45986</v>
      </c>
      <c r="I12" s="6" t="s">
        <v>379</v>
      </c>
      <c r="J12" s="6" t="s">
        <v>225</v>
      </c>
      <c r="K12" s="0" t="n">
        <v>1045</v>
      </c>
    </row>
    <row r="13" customFormat="false" ht="14.25" hidden="false" customHeight="false" outlineLevel="0" collapsed="false">
      <c r="A13" s="0" t="s">
        <v>264</v>
      </c>
      <c r="B13" s="0" t="s">
        <v>262</v>
      </c>
      <c r="C13" s="5" t="n">
        <v>46104</v>
      </c>
      <c r="D13" s="6" t="s">
        <v>263</v>
      </c>
      <c r="E13" s="6" t="s">
        <v>245</v>
      </c>
      <c r="F13" s="6" t="s">
        <v>382</v>
      </c>
      <c r="G13" s="5" t="n">
        <v>46109</v>
      </c>
      <c r="H13" s="5" t="n">
        <v>46109</v>
      </c>
      <c r="I13" s="6" t="s">
        <v>379</v>
      </c>
      <c r="J13" s="6" t="s">
        <v>225</v>
      </c>
      <c r="K13" s="0" t="n">
        <v>1046</v>
      </c>
    </row>
    <row r="14" customFormat="false" ht="14.25" hidden="false" customHeight="false" outlineLevel="0" collapsed="false">
      <c r="A14" s="0" t="s">
        <v>269</v>
      </c>
      <c r="B14" s="0" t="s">
        <v>265</v>
      </c>
      <c r="C14" s="5" t="n">
        <v>46205</v>
      </c>
      <c r="D14" s="6" t="s">
        <v>389</v>
      </c>
      <c r="E14" s="6" t="s">
        <v>390</v>
      </c>
      <c r="F14" s="6" t="s">
        <v>270</v>
      </c>
      <c r="G14" s="5" t="n">
        <v>46212</v>
      </c>
      <c r="H14" s="5" t="s">
        <v>391</v>
      </c>
      <c r="I14" s="6" t="s">
        <v>379</v>
      </c>
      <c r="J14" s="6" t="s">
        <v>225</v>
      </c>
      <c r="K14" s="0" t="n">
        <v>1047</v>
      </c>
    </row>
    <row r="15" customFormat="false" ht="14.25" hidden="false" customHeight="false" outlineLevel="0" collapsed="false">
      <c r="A15" s="0" t="s">
        <v>275</v>
      </c>
      <c r="B15" s="0" t="s">
        <v>271</v>
      </c>
      <c r="C15" s="5" t="n">
        <v>46242</v>
      </c>
      <c r="D15" s="6" t="s">
        <v>392</v>
      </c>
      <c r="E15" s="6" t="s">
        <v>393</v>
      </c>
      <c r="F15" s="6" t="s">
        <v>276</v>
      </c>
      <c r="G15" s="5" t="n">
        <v>46295</v>
      </c>
      <c r="H15" s="5"/>
      <c r="I15" s="6" t="s">
        <v>376</v>
      </c>
      <c r="J15" s="6" t="s">
        <v>277</v>
      </c>
    </row>
    <row r="16" customFormat="false" ht="14.25" hidden="false" customHeight="false" outlineLevel="0" collapsed="false">
      <c r="A16" s="0" t="s">
        <v>281</v>
      </c>
      <c r="B16" s="0" t="s">
        <v>278</v>
      </c>
      <c r="C16" s="5" t="n">
        <v>46242</v>
      </c>
      <c r="D16" s="6" t="s">
        <v>394</v>
      </c>
      <c r="E16" s="6" t="s">
        <v>395</v>
      </c>
      <c r="F16" s="6" t="s">
        <v>282</v>
      </c>
      <c r="G16" s="5" t="n">
        <v>46295</v>
      </c>
      <c r="H16" s="5"/>
      <c r="I16" s="6" t="s">
        <v>376</v>
      </c>
      <c r="J16" s="6" t="s">
        <v>277</v>
      </c>
    </row>
    <row r="17" customFormat="false" ht="14.25" hidden="false" customHeight="false" outlineLevel="0" collapsed="false">
      <c r="A17" s="0" t="s">
        <v>286</v>
      </c>
      <c r="B17" s="0" t="s">
        <v>283</v>
      </c>
      <c r="C17" s="5" t="n">
        <v>46242</v>
      </c>
      <c r="D17" s="6" t="s">
        <v>396</v>
      </c>
      <c r="E17" s="6" t="s">
        <v>397</v>
      </c>
      <c r="F17" s="6" t="s">
        <v>287</v>
      </c>
      <c r="G17" s="5" t="n">
        <v>46310</v>
      </c>
      <c r="H17" s="5"/>
      <c r="I17" s="6" t="s">
        <v>376</v>
      </c>
      <c r="J17" s="6" t="s">
        <v>277</v>
      </c>
    </row>
    <row r="18" customFormat="false" ht="14.25" hidden="false" customHeight="false" outlineLevel="0" collapsed="false">
      <c r="A18" s="0" t="s">
        <v>291</v>
      </c>
      <c r="B18" s="0" t="s">
        <v>288</v>
      </c>
      <c r="C18" s="5" t="n">
        <v>46242</v>
      </c>
      <c r="D18" s="6" t="s">
        <v>398</v>
      </c>
      <c r="E18" s="6" t="s">
        <v>399</v>
      </c>
      <c r="F18" s="6" t="s">
        <v>292</v>
      </c>
      <c r="G18" s="5" t="n">
        <v>46326</v>
      </c>
      <c r="H18" s="5"/>
      <c r="I18" s="6" t="s">
        <v>376</v>
      </c>
      <c r="J18" s="6" t="s">
        <v>277</v>
      </c>
    </row>
    <row r="19" customFormat="false" ht="14.25" hidden="false" customHeight="false" outlineLevel="0" collapsed="false">
      <c r="A19" s="0" t="s">
        <v>296</v>
      </c>
      <c r="B19" s="0" t="s">
        <v>293</v>
      </c>
      <c r="C19" s="5" t="n">
        <v>46242</v>
      </c>
      <c r="D19" s="6" t="s">
        <v>400</v>
      </c>
      <c r="E19" s="6" t="s">
        <v>401</v>
      </c>
      <c r="F19" s="6" t="s">
        <v>282</v>
      </c>
      <c r="G19" s="5" t="n">
        <v>46310</v>
      </c>
      <c r="H19" s="5"/>
      <c r="I19" s="6" t="s">
        <v>376</v>
      </c>
      <c r="J19" s="6" t="s">
        <v>277</v>
      </c>
    </row>
    <row r="20" customFormat="false" ht="14.25" hidden="false" customHeight="false" outlineLevel="0" collapsed="false">
      <c r="A20" s="0" t="s">
        <v>300</v>
      </c>
      <c r="B20" s="0" t="s">
        <v>297</v>
      </c>
      <c r="C20" s="5" t="n">
        <v>46242</v>
      </c>
      <c r="D20" s="6" t="s">
        <v>402</v>
      </c>
      <c r="E20" s="6" t="s">
        <v>403</v>
      </c>
      <c r="F20" s="6" t="s">
        <v>301</v>
      </c>
      <c r="G20" s="5" t="n">
        <v>46310</v>
      </c>
      <c r="H20" s="5"/>
      <c r="I20" s="6" t="s">
        <v>376</v>
      </c>
      <c r="J20" s="6" t="s">
        <v>277</v>
      </c>
    </row>
    <row r="21" customFormat="false" ht="14.25" hidden="false" customHeight="false" outlineLevel="0" collapsed="false">
      <c r="A21" s="0" t="s">
        <v>305</v>
      </c>
      <c r="B21" s="0" t="s">
        <v>302</v>
      </c>
      <c r="C21" s="5" t="n">
        <v>46242</v>
      </c>
      <c r="D21" s="6" t="s">
        <v>404</v>
      </c>
      <c r="E21" s="6" t="s">
        <v>405</v>
      </c>
      <c r="F21" s="6" t="s">
        <v>306</v>
      </c>
      <c r="G21" s="5" t="n">
        <v>46295</v>
      </c>
      <c r="H21" s="5"/>
      <c r="I21" s="6" t="s">
        <v>376</v>
      </c>
      <c r="J21" s="6" t="s">
        <v>277</v>
      </c>
    </row>
    <row r="22" customFormat="false" ht="14.25" hidden="false" customHeight="false" outlineLevel="0" collapsed="false">
      <c r="C22" s="5"/>
      <c r="G22" s="5"/>
      <c r="H22" s="5"/>
    </row>
    <row r="23" customFormat="false" ht="14.25" hidden="false" customHeight="false" outlineLevel="0" collapsed="false">
      <c r="C23" s="5"/>
      <c r="G23" s="5"/>
      <c r="H23" s="5"/>
    </row>
    <row r="24" customFormat="false" ht="14.25" hidden="false" customHeight="false" outlineLevel="0" collapsed="false">
      <c r="C24" s="5"/>
      <c r="G24" s="5"/>
      <c r="H24" s="5"/>
    </row>
    <row r="25" customFormat="false" ht="14.25" hidden="false" customHeight="false" outlineLevel="0" collapsed="false">
      <c r="C25" s="5"/>
      <c r="G25" s="5"/>
      <c r="H25" s="5"/>
    </row>
    <row r="26" customFormat="false" ht="14.25" hidden="false" customHeight="false" outlineLevel="0" collapsed="false">
      <c r="C26" s="5"/>
      <c r="G26" s="5"/>
      <c r="H26" s="5"/>
    </row>
    <row r="27" customFormat="false" ht="14.25" hidden="false" customHeight="false" outlineLevel="0" collapsed="false">
      <c r="C27" s="5"/>
      <c r="G27" s="5"/>
      <c r="H27" s="5"/>
    </row>
    <row r="28" customFormat="false" ht="14.25" hidden="false" customHeight="false" outlineLevel="0" collapsed="false">
      <c r="C28" s="5"/>
      <c r="G28" s="5"/>
      <c r="H28" s="5"/>
    </row>
    <row r="29" customFormat="false" ht="14.25" hidden="false" customHeight="false" outlineLevel="0" collapsed="false">
      <c r="C29" s="5"/>
      <c r="G29" s="5"/>
      <c r="H29" s="5"/>
    </row>
    <row r="30" customFormat="false" ht="14.25" hidden="false" customHeight="false" outlineLevel="0" collapsed="false">
      <c r="C30" s="5"/>
      <c r="G30" s="5"/>
      <c r="H30" s="5"/>
    </row>
    <row r="31" customFormat="false" ht="14.25" hidden="false" customHeight="false" outlineLevel="0" collapsed="false">
      <c r="C31" s="5"/>
      <c r="G31" s="5"/>
      <c r="H31" s="5"/>
    </row>
    <row r="32" customFormat="false" ht="14.25" hidden="false" customHeight="false" outlineLevel="0" collapsed="false">
      <c r="C32" s="5"/>
      <c r="G32" s="5"/>
      <c r="H32" s="5"/>
    </row>
    <row r="33" customFormat="false" ht="14.25" hidden="false" customHeight="false" outlineLevel="0" collapsed="false">
      <c r="C33" s="5"/>
      <c r="G33" s="5"/>
      <c r="H33" s="5"/>
    </row>
    <row r="34" customFormat="false" ht="14.25" hidden="false" customHeight="false" outlineLevel="0" collapsed="false">
      <c r="C34" s="5"/>
      <c r="G34" s="5"/>
      <c r="H34" s="5"/>
    </row>
    <row r="35" customFormat="false" ht="14.25" hidden="false" customHeight="false" outlineLevel="0" collapsed="false">
      <c r="C35" s="5"/>
      <c r="G35" s="5"/>
      <c r="H35" s="5"/>
    </row>
    <row r="36" customFormat="false" ht="14.25" hidden="false" customHeight="false" outlineLevel="0" collapsed="false">
      <c r="C36" s="5"/>
      <c r="G36" s="5"/>
      <c r="H36" s="5"/>
    </row>
    <row r="37" customFormat="false" ht="14.25" hidden="false" customHeight="false" outlineLevel="0" collapsed="false">
      <c r="C37" s="5"/>
      <c r="G37" s="5"/>
      <c r="H37" s="5"/>
    </row>
    <row r="38" customFormat="false" ht="14.25" hidden="false" customHeight="false" outlineLevel="0" collapsed="false">
      <c r="C38" s="5"/>
      <c r="G38" s="5"/>
      <c r="H38" s="5"/>
    </row>
    <row r="39" customFormat="false" ht="14.25" hidden="false" customHeight="false" outlineLevel="0" collapsed="false">
      <c r="C39" s="5"/>
      <c r="G39" s="5"/>
      <c r="H39" s="5"/>
    </row>
    <row r="40" customFormat="false" ht="14.25" hidden="false" customHeight="false" outlineLevel="0" collapsed="false">
      <c r="C40" s="5"/>
      <c r="G40" s="5"/>
      <c r="H40" s="5"/>
    </row>
    <row r="41" customFormat="false" ht="14.25" hidden="false" customHeight="false" outlineLevel="0" collapsed="false">
      <c r="C41" s="5"/>
      <c r="G41" s="5"/>
      <c r="H41" s="5"/>
    </row>
    <row r="42" customFormat="false" ht="14.25" hidden="false" customHeight="false" outlineLevel="0" collapsed="false">
      <c r="C42" s="5"/>
      <c r="G42" s="5"/>
      <c r="H42" s="5"/>
    </row>
    <row r="43" customFormat="false" ht="14.25" hidden="false" customHeight="false" outlineLevel="0" collapsed="false">
      <c r="C43" s="5"/>
      <c r="G43" s="5"/>
      <c r="H43" s="5"/>
    </row>
    <row r="44" customFormat="false" ht="14.25" hidden="false" customHeight="false" outlineLevel="0" collapsed="false">
      <c r="C44" s="5"/>
      <c r="G44" s="5"/>
      <c r="H44" s="5"/>
    </row>
    <row r="45" customFormat="false" ht="14.25" hidden="false" customHeight="false" outlineLevel="0" collapsed="false">
      <c r="C45" s="5"/>
      <c r="G45" s="5"/>
      <c r="H45" s="5"/>
    </row>
    <row r="46" customFormat="false" ht="14.25" hidden="false" customHeight="false" outlineLevel="0" collapsed="false">
      <c r="C46" s="5"/>
      <c r="G46" s="5"/>
      <c r="H46" s="5"/>
    </row>
    <row r="47" customFormat="false" ht="14.25" hidden="false" customHeight="false" outlineLevel="0" collapsed="false">
      <c r="C47" s="5"/>
      <c r="G47" s="5"/>
      <c r="H47" s="5"/>
    </row>
    <row r="48" customFormat="false" ht="14.25" hidden="false" customHeight="false" outlineLevel="0" collapsed="false">
      <c r="C48" s="5"/>
      <c r="G48" s="5"/>
      <c r="H48" s="5"/>
    </row>
    <row r="49" customFormat="false" ht="14.25" hidden="false" customHeight="false" outlineLevel="0" collapsed="false">
      <c r="C49" s="5"/>
      <c r="G49" s="5"/>
      <c r="H49" s="5"/>
    </row>
    <row r="50" customFormat="false" ht="14.25" hidden="false" customHeight="false" outlineLevel="0" collapsed="false">
      <c r="C50" s="5"/>
      <c r="G50" s="5"/>
    </row>
    <row r="51" customFormat="false" ht="14.25" hidden="false" customHeight="false" outlineLevel="0" collapsed="false">
      <c r="C51" s="5"/>
      <c r="G51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23" activeCellId="0" sqref="H23"/>
    </sheetView>
  </sheetViews>
  <sheetFormatPr defaultColWidth="8.6796875" defaultRowHeight="14.25" zeroHeight="false" outlineLevelRow="0" outlineLevelCol="0"/>
  <cols>
    <col collapsed="false" customWidth="true" hidden="false" outlineLevel="0" max="2" min="2" style="0" width="32.77"/>
    <col collapsed="false" customWidth="true" hidden="false" outlineLevel="0" max="3" min="3" style="0" width="27.56"/>
    <col collapsed="false" customWidth="true" hidden="false" outlineLevel="0" max="4" min="4" style="0" width="15.66"/>
    <col collapsed="false" customWidth="true" hidden="false" outlineLevel="0" max="5" min="5" style="0" width="18.34"/>
    <col collapsed="false" customWidth="true" hidden="false" outlineLevel="0" max="6" min="6" style="0" width="37"/>
    <col collapsed="false" customWidth="true" hidden="false" outlineLevel="0" max="7" min="7" style="0" width="16.77"/>
    <col collapsed="false" customWidth="true" hidden="false" outlineLevel="0" max="8" min="8" style="0" width="17.67"/>
  </cols>
  <sheetData>
    <row r="1" customFormat="false" ht="14.25" hidden="false" customHeight="false" outlineLevel="0" collapsed="false">
      <c r="A1" s="0" t="s">
        <v>406</v>
      </c>
      <c r="B1" s="0" t="s">
        <v>13</v>
      </c>
      <c r="C1" s="0" t="s">
        <v>407</v>
      </c>
      <c r="D1" s="0" t="s">
        <v>408</v>
      </c>
      <c r="E1" s="0" t="s">
        <v>409</v>
      </c>
      <c r="F1" s="0" t="s">
        <v>410</v>
      </c>
      <c r="G1" s="0" t="s">
        <v>411</v>
      </c>
      <c r="H1" s="0" t="s">
        <v>21</v>
      </c>
    </row>
    <row r="2" customFormat="false" ht="14.25" hidden="false" customHeight="false" outlineLevel="0" collapsed="false">
      <c r="A2" s="0" t="s">
        <v>412</v>
      </c>
      <c r="B2" s="0" t="s">
        <v>353</v>
      </c>
      <c r="C2" s="0" t="s">
        <v>413</v>
      </c>
      <c r="D2" s="5" t="n">
        <v>45839</v>
      </c>
      <c r="E2" s="5" t="n">
        <v>45852</v>
      </c>
      <c r="F2" s="6" t="s">
        <v>414</v>
      </c>
      <c r="G2" s="6" t="s">
        <v>415</v>
      </c>
      <c r="H2" s="6" t="s">
        <v>339</v>
      </c>
    </row>
    <row r="3" customFormat="false" ht="14.25" hidden="false" customHeight="false" outlineLevel="0" collapsed="false">
      <c r="A3" s="0" t="s">
        <v>416</v>
      </c>
      <c r="B3" s="0" t="s">
        <v>417</v>
      </c>
      <c r="C3" s="0" t="s">
        <v>413</v>
      </c>
      <c r="D3" s="5" t="n">
        <v>45853</v>
      </c>
      <c r="E3" s="5" t="n">
        <v>45869</v>
      </c>
      <c r="F3" s="6" t="s">
        <v>418</v>
      </c>
      <c r="G3" s="6" t="s">
        <v>415</v>
      </c>
      <c r="H3" s="6" t="s">
        <v>339</v>
      </c>
    </row>
    <row r="4" customFormat="false" ht="14.25" hidden="false" customHeight="false" outlineLevel="0" collapsed="false">
      <c r="A4" s="0" t="s">
        <v>419</v>
      </c>
      <c r="B4" s="0" t="s">
        <v>420</v>
      </c>
      <c r="C4" s="0" t="s">
        <v>413</v>
      </c>
      <c r="D4" s="5" t="n">
        <v>45856</v>
      </c>
      <c r="E4" s="5" t="n">
        <v>45868</v>
      </c>
      <c r="F4" s="6" t="s">
        <v>421</v>
      </c>
      <c r="G4" s="6" t="s">
        <v>415</v>
      </c>
      <c r="H4" s="6" t="s">
        <v>339</v>
      </c>
    </row>
    <row r="5" customFormat="false" ht="14.25" hidden="false" customHeight="false" outlineLevel="0" collapsed="false">
      <c r="A5" s="0" t="s">
        <v>422</v>
      </c>
      <c r="B5" s="0" t="s">
        <v>423</v>
      </c>
      <c r="C5" s="0" t="s">
        <v>413</v>
      </c>
      <c r="D5" s="5" t="n">
        <v>45874</v>
      </c>
      <c r="E5" s="5" t="n">
        <v>45874</v>
      </c>
      <c r="F5" s="6" t="s">
        <v>418</v>
      </c>
      <c r="G5" s="6" t="s">
        <v>415</v>
      </c>
      <c r="H5" s="6" t="s">
        <v>339</v>
      </c>
    </row>
    <row r="6" customFormat="false" ht="14.25" hidden="false" customHeight="false" outlineLevel="0" collapsed="false">
      <c r="A6" s="0" t="s">
        <v>424</v>
      </c>
      <c r="B6" s="0" t="s">
        <v>425</v>
      </c>
      <c r="C6" s="0" t="s">
        <v>413</v>
      </c>
      <c r="D6" s="5" t="n">
        <v>45874</v>
      </c>
      <c r="E6" s="5" t="n">
        <v>45874</v>
      </c>
      <c r="F6" s="6" t="s">
        <v>426</v>
      </c>
      <c r="G6" s="6" t="s">
        <v>415</v>
      </c>
      <c r="H6" s="6" t="s">
        <v>339</v>
      </c>
    </row>
    <row r="7" customFormat="false" ht="14.25" hidden="false" customHeight="false" outlineLevel="0" collapsed="false">
      <c r="A7" s="0" t="s">
        <v>427</v>
      </c>
      <c r="B7" s="0" t="s">
        <v>353</v>
      </c>
      <c r="C7" s="0" t="s">
        <v>413</v>
      </c>
      <c r="D7" s="5" t="n">
        <v>45901</v>
      </c>
      <c r="E7" s="5" t="n">
        <v>45901</v>
      </c>
      <c r="F7" s="6" t="s">
        <v>428</v>
      </c>
      <c r="G7" s="6" t="s">
        <v>415</v>
      </c>
      <c r="H7" s="6" t="s">
        <v>339</v>
      </c>
    </row>
    <row r="8" customFormat="false" ht="14.25" hidden="false" customHeight="false" outlineLevel="0" collapsed="false">
      <c r="A8" s="0" t="s">
        <v>429</v>
      </c>
      <c r="B8" s="0" t="s">
        <v>345</v>
      </c>
      <c r="C8" s="0" t="s">
        <v>413</v>
      </c>
      <c r="D8" s="5" t="n">
        <v>45953</v>
      </c>
      <c r="E8" s="5" t="n">
        <v>45953</v>
      </c>
      <c r="F8" s="6" t="s">
        <v>430</v>
      </c>
      <c r="G8" s="6" t="s">
        <v>415</v>
      </c>
      <c r="H8" s="6" t="s">
        <v>339</v>
      </c>
    </row>
    <row r="9" customFormat="false" ht="14.25" hidden="false" customHeight="false" outlineLevel="0" collapsed="false">
      <c r="A9" s="0" t="s">
        <v>431</v>
      </c>
      <c r="B9" s="0" t="s">
        <v>351</v>
      </c>
      <c r="C9" s="0" t="s">
        <v>413</v>
      </c>
      <c r="D9" s="5" t="n">
        <v>45971</v>
      </c>
      <c r="E9" s="5" t="n">
        <v>45971</v>
      </c>
      <c r="F9" s="6" t="s">
        <v>340</v>
      </c>
      <c r="G9" s="6" t="s">
        <v>415</v>
      </c>
      <c r="H9" s="6" t="s">
        <v>339</v>
      </c>
    </row>
    <row r="10" customFormat="false" ht="14.25" hidden="false" customHeight="false" outlineLevel="0" collapsed="false">
      <c r="A10" s="0" t="s">
        <v>432</v>
      </c>
      <c r="B10" s="0" t="s">
        <v>433</v>
      </c>
      <c r="C10" s="0" t="s">
        <v>413</v>
      </c>
      <c r="D10" s="5" t="n">
        <v>46048</v>
      </c>
      <c r="E10" s="5" t="n">
        <v>46048</v>
      </c>
      <c r="F10" s="6" t="s">
        <v>340</v>
      </c>
      <c r="G10" s="6" t="s">
        <v>415</v>
      </c>
      <c r="H10" s="6" t="s">
        <v>339</v>
      </c>
    </row>
    <row r="11" customFormat="false" ht="14.25" hidden="false" customHeight="false" outlineLevel="0" collapsed="false">
      <c r="A11" s="0" t="s">
        <v>434</v>
      </c>
      <c r="B11" s="0" t="s">
        <v>435</v>
      </c>
      <c r="C11" s="0" t="s">
        <v>413</v>
      </c>
      <c r="D11" s="5" t="n">
        <v>46108</v>
      </c>
      <c r="E11" s="5" t="n">
        <v>46108</v>
      </c>
      <c r="F11" s="6" t="s">
        <v>340</v>
      </c>
      <c r="G11" s="6" t="s">
        <v>415</v>
      </c>
      <c r="H11" s="6" t="s">
        <v>339</v>
      </c>
    </row>
    <row r="12" customFormat="false" ht="14.25" hidden="false" customHeight="false" outlineLevel="0" collapsed="false">
      <c r="A12" s="0" t="s">
        <v>436</v>
      </c>
      <c r="B12" s="0" t="s">
        <v>437</v>
      </c>
      <c r="C12" s="0" t="s">
        <v>413</v>
      </c>
      <c r="D12" s="5" t="n">
        <v>46141</v>
      </c>
      <c r="E12" s="5" t="n">
        <v>46141</v>
      </c>
      <c r="F12" s="6" t="s">
        <v>438</v>
      </c>
      <c r="G12" s="6" t="s">
        <v>415</v>
      </c>
      <c r="H12" s="6" t="s">
        <v>339</v>
      </c>
    </row>
    <row r="13" customFormat="false" ht="14.25" hidden="false" customHeight="false" outlineLevel="0" collapsed="false">
      <c r="A13" s="0" t="s">
        <v>439</v>
      </c>
      <c r="B13" s="0" t="s">
        <v>176</v>
      </c>
      <c r="C13" s="0" t="s">
        <v>413</v>
      </c>
      <c r="D13" s="5" t="n">
        <v>46205</v>
      </c>
      <c r="E13" s="5" t="n">
        <v>46205</v>
      </c>
      <c r="F13" s="6" t="s">
        <v>340</v>
      </c>
      <c r="G13" s="6" t="s">
        <v>415</v>
      </c>
      <c r="H13" s="6" t="s">
        <v>339</v>
      </c>
    </row>
    <row r="14" customFormat="false" ht="14.25" hidden="false" customHeight="false" outlineLevel="0" collapsed="false">
      <c r="A14" s="0" t="s">
        <v>440</v>
      </c>
      <c r="B14" s="0" t="s">
        <v>351</v>
      </c>
      <c r="C14" s="0" t="s">
        <v>413</v>
      </c>
      <c r="D14" s="5" t="n">
        <v>46223</v>
      </c>
      <c r="E14" s="5" t="n">
        <v>46223</v>
      </c>
      <c r="F14" s="6" t="s">
        <v>340</v>
      </c>
      <c r="G14" s="6" t="s">
        <v>415</v>
      </c>
      <c r="H14" s="6" t="s">
        <v>339</v>
      </c>
    </row>
    <row r="15" customFormat="false" ht="14.25" hidden="false" customHeight="false" outlineLevel="0" collapsed="false">
      <c r="A15" s="0" t="s">
        <v>441</v>
      </c>
      <c r="B15" s="0" t="s">
        <v>345</v>
      </c>
      <c r="C15" s="0" t="s">
        <v>413</v>
      </c>
      <c r="D15" s="5" t="n">
        <v>46224</v>
      </c>
      <c r="E15" s="5" t="n">
        <v>46224</v>
      </c>
      <c r="F15" s="6" t="s">
        <v>340</v>
      </c>
      <c r="G15" s="6" t="s">
        <v>415</v>
      </c>
      <c r="H15" s="6" t="s">
        <v>339</v>
      </c>
    </row>
    <row r="16" customFormat="false" ht="14.25" hidden="false" customHeight="false" outlineLevel="0" collapsed="false">
      <c r="A16" s="0" t="s">
        <v>442</v>
      </c>
      <c r="B16" s="0" t="s">
        <v>420</v>
      </c>
      <c r="C16" s="0" t="s">
        <v>413</v>
      </c>
      <c r="D16" s="5" t="n">
        <v>46238</v>
      </c>
      <c r="E16" s="5" t="n">
        <v>46237</v>
      </c>
      <c r="F16" s="6" t="s">
        <v>340</v>
      </c>
      <c r="G16" s="6" t="s">
        <v>415</v>
      </c>
      <c r="H16" s="6" t="s">
        <v>339</v>
      </c>
    </row>
    <row r="17" customFormat="false" ht="14.25" hidden="false" customHeight="false" outlineLevel="0" collapsed="false">
      <c r="A17" s="0" t="s">
        <v>443</v>
      </c>
      <c r="B17" s="0" t="s">
        <v>353</v>
      </c>
      <c r="C17" s="0" t="s">
        <v>413</v>
      </c>
      <c r="D17" s="5" t="n">
        <v>46240</v>
      </c>
      <c r="E17" s="5" t="n">
        <v>46240</v>
      </c>
      <c r="F17" s="6" t="s">
        <v>444</v>
      </c>
      <c r="G17" s="6" t="s">
        <v>415</v>
      </c>
      <c r="H17" s="6" t="s">
        <v>339</v>
      </c>
    </row>
    <row r="18" customFormat="false" ht="14.25" hidden="false" customHeight="false" outlineLevel="0" collapsed="false">
      <c r="A18" s="0" t="s">
        <v>445</v>
      </c>
      <c r="B18" s="0" t="s">
        <v>351</v>
      </c>
      <c r="C18" s="0" t="s">
        <v>413</v>
      </c>
      <c r="D18" s="5" t="n">
        <v>46246</v>
      </c>
      <c r="E18" s="5" t="n">
        <v>46246</v>
      </c>
      <c r="F18" s="6" t="s">
        <v>438</v>
      </c>
      <c r="G18" s="6" t="s">
        <v>415</v>
      </c>
      <c r="H18" s="6" t="s">
        <v>339</v>
      </c>
    </row>
    <row r="19" customFormat="false" ht="14.25" hidden="false" customHeight="false" outlineLevel="0" collapsed="false">
      <c r="A19" s="0" t="s">
        <v>446</v>
      </c>
      <c r="B19" s="0" t="s">
        <v>435</v>
      </c>
      <c r="C19" s="0" t="s">
        <v>413</v>
      </c>
      <c r="D19" s="5" t="n">
        <v>46251</v>
      </c>
      <c r="E19" s="5" t="n">
        <v>46248</v>
      </c>
      <c r="F19" s="6" t="s">
        <v>340</v>
      </c>
      <c r="G19" s="6" t="s">
        <v>415</v>
      </c>
      <c r="H19" s="6" t="s">
        <v>339</v>
      </c>
    </row>
    <row r="20" customFormat="false" ht="14.25" hidden="false" customHeight="false" outlineLevel="0" collapsed="false">
      <c r="A20" s="0" t="s">
        <v>447</v>
      </c>
      <c r="B20" s="0" t="s">
        <v>345</v>
      </c>
      <c r="C20" s="0" t="s">
        <v>413</v>
      </c>
      <c r="D20" s="5" t="n">
        <v>46251</v>
      </c>
      <c r="E20" s="5" t="n">
        <v>46251</v>
      </c>
      <c r="F20" s="6" t="s">
        <v>448</v>
      </c>
      <c r="G20" s="6" t="s">
        <v>415</v>
      </c>
      <c r="H20" s="6" t="s">
        <v>339</v>
      </c>
    </row>
    <row r="21" customFormat="false" ht="14.25" hidden="false" customHeight="false" outlineLevel="0" collapsed="false">
      <c r="A21" s="0" t="s">
        <v>449</v>
      </c>
      <c r="B21" s="0" t="s">
        <v>437</v>
      </c>
      <c r="C21" s="0" t="s">
        <v>413</v>
      </c>
      <c r="D21" s="5" t="n">
        <v>46253</v>
      </c>
      <c r="E21" s="5" t="n">
        <v>46254</v>
      </c>
      <c r="F21" s="6" t="s">
        <v>438</v>
      </c>
      <c r="G21" s="6" t="s">
        <v>415</v>
      </c>
      <c r="H21" s="6" t="s">
        <v>339</v>
      </c>
    </row>
    <row r="22" customFormat="false" ht="14.25" hidden="false" customHeight="false" outlineLevel="0" collapsed="false">
      <c r="A22" s="0" t="s">
        <v>450</v>
      </c>
      <c r="B22" s="0" t="s">
        <v>451</v>
      </c>
      <c r="C22" s="0" t="s">
        <v>413</v>
      </c>
      <c r="D22" s="5" t="n">
        <v>46255</v>
      </c>
      <c r="E22" s="5" t="n">
        <v>46255</v>
      </c>
      <c r="F22" s="6" t="s">
        <v>438</v>
      </c>
      <c r="G22" s="6" t="s">
        <v>415</v>
      </c>
      <c r="H22" s="6" t="s">
        <v>339</v>
      </c>
    </row>
    <row r="23" customFormat="false" ht="14.25" hidden="false" customHeight="false" outlineLevel="0" collapsed="false">
      <c r="A23" s="0" t="s">
        <v>452</v>
      </c>
      <c r="B23" s="0" t="s">
        <v>433</v>
      </c>
      <c r="C23" s="0" t="s">
        <v>453</v>
      </c>
      <c r="D23" s="5" t="n">
        <v>46242</v>
      </c>
      <c r="E23" s="5" t="n">
        <v>46242</v>
      </c>
      <c r="F23" s="6" t="s">
        <v>454</v>
      </c>
      <c r="G23" s="6" t="s">
        <v>455</v>
      </c>
      <c r="H23" s="6" t="s">
        <v>339</v>
      </c>
    </row>
    <row r="24" customFormat="false" ht="14.25" hidden="false" customHeight="false" outlineLevel="0" collapsed="false">
      <c r="A24" s="0" t="s">
        <v>456</v>
      </c>
      <c r="B24" s="0" t="s">
        <v>457</v>
      </c>
      <c r="C24" s="0" t="s">
        <v>453</v>
      </c>
      <c r="D24" s="5" t="n">
        <v>46242</v>
      </c>
      <c r="E24" s="5" t="n">
        <v>46242</v>
      </c>
      <c r="F24" s="6" t="s">
        <v>458</v>
      </c>
      <c r="G24" s="6" t="s">
        <v>455</v>
      </c>
      <c r="H24" s="6" t="s">
        <v>339</v>
      </c>
    </row>
    <row r="25" customFormat="false" ht="14.25" hidden="false" customHeight="false" outlineLevel="0" collapsed="false">
      <c r="A25" s="0" t="s">
        <v>459</v>
      </c>
      <c r="B25" s="0" t="s">
        <v>345</v>
      </c>
      <c r="C25" s="0" t="s">
        <v>453</v>
      </c>
      <c r="D25" s="5" t="n">
        <v>46242</v>
      </c>
      <c r="E25" s="5" t="n">
        <v>46242</v>
      </c>
      <c r="F25" s="6" t="s">
        <v>460</v>
      </c>
      <c r="G25" s="6" t="s">
        <v>455</v>
      </c>
      <c r="H25" s="6" t="s">
        <v>339</v>
      </c>
    </row>
    <row r="26" customFormat="false" ht="14.25" hidden="false" customHeight="false" outlineLevel="0" collapsed="false">
      <c r="A26" s="0" t="s">
        <v>461</v>
      </c>
      <c r="B26" s="0" t="s">
        <v>351</v>
      </c>
      <c r="C26" s="0" t="s">
        <v>453</v>
      </c>
      <c r="D26" s="5" t="n">
        <v>46242</v>
      </c>
      <c r="E26" s="5" t="n">
        <v>46242</v>
      </c>
      <c r="F26" s="6" t="s">
        <v>462</v>
      </c>
      <c r="G26" s="6" t="s">
        <v>455</v>
      </c>
      <c r="H26" s="6" t="s">
        <v>339</v>
      </c>
    </row>
    <row r="27" customFormat="false" ht="14.25" hidden="false" customHeight="false" outlineLevel="0" collapsed="false">
      <c r="A27" s="0" t="s">
        <v>463</v>
      </c>
      <c r="B27" s="0" t="s">
        <v>464</v>
      </c>
      <c r="C27" s="0" t="s">
        <v>453</v>
      </c>
      <c r="D27" s="5" t="n">
        <v>46242</v>
      </c>
      <c r="E27" s="5" t="n">
        <v>46242</v>
      </c>
      <c r="F27" s="6" t="s">
        <v>465</v>
      </c>
      <c r="G27" s="6" t="s">
        <v>455</v>
      </c>
      <c r="H27" s="6" t="s">
        <v>339</v>
      </c>
    </row>
    <row r="28" customFormat="false" ht="14.25" hidden="false" customHeight="false" outlineLevel="0" collapsed="false">
      <c r="A28" s="0" t="s">
        <v>466</v>
      </c>
      <c r="D28" s="5"/>
      <c r="E28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8"/>
  <sheetViews>
    <sheetView showFormulas="false" showGridLines="true" showRowColHeaders="true" showZeros="true" rightToLeft="false" tabSelected="false" showOutlineSymbols="true" defaultGridColor="true" view="normal" topLeftCell="A46" colorId="64" zoomScale="100" zoomScaleNormal="100" zoomScalePageLayoutView="100" workbookViewId="0">
      <selection pane="topLeft" activeCell="G58" activeCellId="0" sqref="G58"/>
    </sheetView>
  </sheetViews>
  <sheetFormatPr defaultColWidth="8.6796875" defaultRowHeight="14.25" zeroHeight="false" outlineLevelRow="0" outlineLevelCol="0"/>
  <cols>
    <col collapsed="false" customWidth="true" hidden="false" outlineLevel="0" max="1" min="1" style="0" width="13.56"/>
    <col collapsed="false" customWidth="true" hidden="false" outlineLevel="0" max="2" min="2" style="0" width="46.67"/>
    <col collapsed="false" customWidth="true" hidden="false" outlineLevel="0" max="3" min="3" style="0" width="23.22"/>
    <col collapsed="false" customWidth="true" hidden="false" outlineLevel="0" max="5" min="5" style="0" width="17.77"/>
    <col collapsed="false" customWidth="true" hidden="false" outlineLevel="0" max="6" min="6" style="0" width="19.56"/>
  </cols>
  <sheetData>
    <row r="1" customFormat="false" ht="14.25" hidden="false" customHeight="false" outlineLevel="0" collapsed="false">
      <c r="A1" s="0" t="s">
        <v>467</v>
      </c>
      <c r="B1" s="0" t="s">
        <v>468</v>
      </c>
      <c r="C1" s="0" t="s">
        <v>18</v>
      </c>
      <c r="D1" s="0" t="s">
        <v>469</v>
      </c>
      <c r="E1" s="0" t="s">
        <v>470</v>
      </c>
      <c r="F1" s="0" t="s">
        <v>471</v>
      </c>
      <c r="G1" s="0" t="s">
        <v>21</v>
      </c>
    </row>
    <row r="2" customFormat="false" ht="14.25" hidden="false" customHeight="false" outlineLevel="0" collapsed="false">
      <c r="A2" s="0" t="s">
        <v>472</v>
      </c>
      <c r="B2" s="0" t="s">
        <v>473</v>
      </c>
      <c r="C2" s="0" t="s">
        <v>474</v>
      </c>
      <c r="D2" s="0" t="n">
        <v>2</v>
      </c>
      <c r="E2" s="5" t="n">
        <v>45887.7674644676</v>
      </c>
      <c r="F2" s="5" t="n">
        <v>46252.7674644676</v>
      </c>
      <c r="G2" s="6" t="s">
        <v>475</v>
      </c>
    </row>
    <row r="3" customFormat="false" ht="14.25" hidden="false" customHeight="false" outlineLevel="0" collapsed="false">
      <c r="A3" s="0" t="s">
        <v>476</v>
      </c>
      <c r="B3" s="0" t="s">
        <v>477</v>
      </c>
      <c r="C3" s="0" t="s">
        <v>413</v>
      </c>
      <c r="D3" s="0" t="n">
        <v>2</v>
      </c>
      <c r="E3" s="5" t="n">
        <v>45198</v>
      </c>
      <c r="F3" s="5" t="n">
        <v>46522</v>
      </c>
      <c r="G3" s="6" t="s">
        <v>475</v>
      </c>
    </row>
    <row r="4" customFormat="false" ht="14.25" hidden="false" customHeight="false" outlineLevel="0" collapsed="false">
      <c r="A4" s="0" t="s">
        <v>478</v>
      </c>
      <c r="B4" s="0" t="s">
        <v>479</v>
      </c>
      <c r="C4" s="0" t="s">
        <v>413</v>
      </c>
      <c r="D4" s="0" t="n">
        <v>2</v>
      </c>
      <c r="E4" s="5" t="n">
        <v>45198</v>
      </c>
      <c r="F4" s="5" t="n">
        <v>46522</v>
      </c>
      <c r="G4" s="6" t="s">
        <v>475</v>
      </c>
    </row>
    <row r="5" customFormat="false" ht="14.25" hidden="false" customHeight="false" outlineLevel="0" collapsed="false">
      <c r="A5" s="0" t="s">
        <v>480</v>
      </c>
      <c r="B5" s="0" t="s">
        <v>481</v>
      </c>
      <c r="C5" s="0" t="s">
        <v>413</v>
      </c>
      <c r="D5" s="0" t="n">
        <v>2</v>
      </c>
      <c r="E5" s="5" t="n">
        <v>45198</v>
      </c>
      <c r="F5" s="5" t="n">
        <v>46512</v>
      </c>
      <c r="G5" s="6" t="s">
        <v>475</v>
      </c>
    </row>
    <row r="6" customFormat="false" ht="14.25" hidden="false" customHeight="false" outlineLevel="0" collapsed="false">
      <c r="A6" s="0" t="s">
        <v>482</v>
      </c>
      <c r="B6" s="0" t="s">
        <v>483</v>
      </c>
      <c r="C6" s="0" t="s">
        <v>413</v>
      </c>
      <c r="D6" s="0" t="n">
        <v>2</v>
      </c>
      <c r="E6" s="5" t="n">
        <v>45198</v>
      </c>
      <c r="F6" s="5" t="n">
        <v>46522</v>
      </c>
      <c r="G6" s="6" t="s">
        <v>475</v>
      </c>
    </row>
    <row r="7" customFormat="false" ht="14.25" hidden="false" customHeight="false" outlineLevel="0" collapsed="false">
      <c r="A7" s="0" t="s">
        <v>484</v>
      </c>
      <c r="B7" s="0" t="s">
        <v>485</v>
      </c>
      <c r="C7" s="0" t="s">
        <v>413</v>
      </c>
      <c r="D7" s="0" t="n">
        <v>2</v>
      </c>
      <c r="E7" s="5" t="n">
        <v>45198</v>
      </c>
      <c r="F7" s="5" t="n">
        <v>46522</v>
      </c>
      <c r="G7" s="6" t="s">
        <v>475</v>
      </c>
    </row>
    <row r="8" customFormat="false" ht="14.25" hidden="false" customHeight="false" outlineLevel="0" collapsed="false">
      <c r="A8" s="0" t="s">
        <v>486</v>
      </c>
      <c r="B8" s="0" t="s">
        <v>487</v>
      </c>
      <c r="C8" s="0" t="s">
        <v>413</v>
      </c>
      <c r="D8" s="0" t="n">
        <v>2</v>
      </c>
      <c r="E8" s="5" t="n">
        <v>45198</v>
      </c>
      <c r="F8" s="5" t="n">
        <v>46522</v>
      </c>
      <c r="G8" s="6" t="s">
        <v>475</v>
      </c>
    </row>
    <row r="9" customFormat="false" ht="14.25" hidden="false" customHeight="false" outlineLevel="0" collapsed="false">
      <c r="A9" s="0" t="s">
        <v>488</v>
      </c>
      <c r="B9" s="0" t="s">
        <v>489</v>
      </c>
      <c r="C9" s="0" t="s">
        <v>413</v>
      </c>
      <c r="D9" s="0" t="n">
        <v>2</v>
      </c>
      <c r="E9" s="5" t="n">
        <v>45198</v>
      </c>
      <c r="F9" s="5" t="n">
        <v>46522</v>
      </c>
      <c r="G9" s="6" t="s">
        <v>475</v>
      </c>
    </row>
    <row r="10" customFormat="false" ht="14.25" hidden="false" customHeight="false" outlineLevel="0" collapsed="false">
      <c r="A10" s="0" t="s">
        <v>490</v>
      </c>
      <c r="B10" s="0" t="s">
        <v>491</v>
      </c>
      <c r="C10" s="0" t="s">
        <v>413</v>
      </c>
      <c r="D10" s="0" t="n">
        <v>2</v>
      </c>
      <c r="E10" s="5" t="n">
        <v>45198</v>
      </c>
      <c r="F10" s="5" t="n">
        <v>46522</v>
      </c>
      <c r="G10" s="6" t="s">
        <v>475</v>
      </c>
    </row>
    <row r="11" customFormat="false" ht="14.25" hidden="false" customHeight="false" outlineLevel="0" collapsed="false">
      <c r="A11" s="0" t="s">
        <v>492</v>
      </c>
      <c r="B11" s="0" t="s">
        <v>493</v>
      </c>
      <c r="C11" s="0" t="s">
        <v>413</v>
      </c>
      <c r="D11" s="0" t="n">
        <v>2</v>
      </c>
      <c r="E11" s="5" t="n">
        <v>45198</v>
      </c>
      <c r="F11" s="5" t="n">
        <v>46522</v>
      </c>
      <c r="G11" s="6" t="s">
        <v>475</v>
      </c>
    </row>
    <row r="12" customFormat="false" ht="14.25" hidden="false" customHeight="false" outlineLevel="0" collapsed="false">
      <c r="A12" s="0" t="s">
        <v>494</v>
      </c>
      <c r="B12" s="0" t="s">
        <v>495</v>
      </c>
      <c r="C12" s="0" t="s">
        <v>413</v>
      </c>
      <c r="D12" s="0" t="n">
        <v>2</v>
      </c>
      <c r="E12" s="5" t="n">
        <v>45198</v>
      </c>
      <c r="F12" s="5" t="n">
        <v>46522</v>
      </c>
      <c r="G12" s="6" t="s">
        <v>475</v>
      </c>
    </row>
    <row r="13" customFormat="false" ht="14.25" hidden="false" customHeight="false" outlineLevel="0" collapsed="false">
      <c r="A13" s="0" t="s">
        <v>496</v>
      </c>
      <c r="B13" s="0" t="s">
        <v>497</v>
      </c>
      <c r="C13" s="0" t="s">
        <v>413</v>
      </c>
      <c r="D13" s="0" t="n">
        <v>0</v>
      </c>
      <c r="E13" s="5" t="n">
        <v>43210</v>
      </c>
      <c r="F13" s="5" t="n">
        <v>46522</v>
      </c>
      <c r="G13" s="6" t="s">
        <v>475</v>
      </c>
    </row>
    <row r="14" customFormat="false" ht="14.25" hidden="false" customHeight="false" outlineLevel="0" collapsed="false">
      <c r="A14" s="0" t="s">
        <v>498</v>
      </c>
      <c r="B14" s="0" t="s">
        <v>499</v>
      </c>
      <c r="C14" s="0" t="s">
        <v>413</v>
      </c>
      <c r="D14" s="0" t="n">
        <v>2</v>
      </c>
      <c r="E14" s="5" t="n">
        <v>43210</v>
      </c>
      <c r="F14" s="5" t="n">
        <v>46512</v>
      </c>
      <c r="G14" s="6" t="s">
        <v>475</v>
      </c>
    </row>
    <row r="15" customFormat="false" ht="14.25" hidden="false" customHeight="false" outlineLevel="0" collapsed="false">
      <c r="A15" s="0" t="s">
        <v>500</v>
      </c>
      <c r="B15" s="0" t="s">
        <v>501</v>
      </c>
      <c r="C15" s="0" t="s">
        <v>413</v>
      </c>
      <c r="D15" s="0" t="n">
        <v>2</v>
      </c>
      <c r="E15" s="5" t="n">
        <v>43210</v>
      </c>
      <c r="F15" s="5" t="n">
        <v>46522</v>
      </c>
      <c r="G15" s="6" t="s">
        <v>475</v>
      </c>
    </row>
    <row r="16" customFormat="false" ht="14.25" hidden="false" customHeight="false" outlineLevel="0" collapsed="false">
      <c r="A16" s="0" t="s">
        <v>502</v>
      </c>
      <c r="B16" s="0" t="s">
        <v>503</v>
      </c>
      <c r="C16" s="0" t="s">
        <v>413</v>
      </c>
      <c r="D16" s="0" t="n">
        <v>0</v>
      </c>
      <c r="E16" s="5" t="n">
        <v>43210</v>
      </c>
      <c r="F16" s="5" t="n">
        <v>46522</v>
      </c>
      <c r="G16" s="6" t="s">
        <v>475</v>
      </c>
    </row>
    <row r="17" customFormat="false" ht="14.25" hidden="false" customHeight="false" outlineLevel="0" collapsed="false">
      <c r="A17" s="0" t="s">
        <v>504</v>
      </c>
      <c r="B17" s="0" t="s">
        <v>505</v>
      </c>
      <c r="C17" s="0" t="s">
        <v>413</v>
      </c>
      <c r="D17" s="0" t="n">
        <v>0</v>
      </c>
      <c r="E17" s="5" t="n">
        <v>43210</v>
      </c>
      <c r="F17" s="5" t="n">
        <v>46522</v>
      </c>
      <c r="G17" s="6" t="s">
        <v>475</v>
      </c>
    </row>
    <row r="18" customFormat="false" ht="14.25" hidden="false" customHeight="false" outlineLevel="0" collapsed="false">
      <c r="A18" s="0" t="s">
        <v>506</v>
      </c>
      <c r="B18" s="0" t="s">
        <v>507</v>
      </c>
      <c r="C18" s="0" t="s">
        <v>413</v>
      </c>
      <c r="D18" s="0" t="n">
        <v>0</v>
      </c>
      <c r="E18" s="5" t="n">
        <v>43210</v>
      </c>
      <c r="F18" s="5" t="n">
        <v>46522</v>
      </c>
      <c r="G18" s="6" t="s">
        <v>475</v>
      </c>
    </row>
    <row r="19" customFormat="false" ht="14.25" hidden="false" customHeight="false" outlineLevel="0" collapsed="false">
      <c r="A19" s="0" t="s">
        <v>508</v>
      </c>
      <c r="B19" s="0" t="s">
        <v>509</v>
      </c>
      <c r="C19" s="0" t="s">
        <v>413</v>
      </c>
      <c r="D19" s="0" t="n">
        <v>0</v>
      </c>
      <c r="E19" s="5" t="n">
        <v>43210</v>
      </c>
      <c r="F19" s="5" t="n">
        <v>46522</v>
      </c>
      <c r="G19" s="6" t="s">
        <v>475</v>
      </c>
    </row>
    <row r="20" customFormat="false" ht="14.25" hidden="false" customHeight="false" outlineLevel="0" collapsed="false">
      <c r="A20" s="0" t="s">
        <v>510</v>
      </c>
      <c r="B20" s="0" t="s">
        <v>511</v>
      </c>
      <c r="C20" s="0" t="s">
        <v>413</v>
      </c>
      <c r="D20" s="0" t="n">
        <v>0</v>
      </c>
      <c r="E20" s="5" t="n">
        <v>43210</v>
      </c>
      <c r="F20" s="5" t="n">
        <v>46522</v>
      </c>
      <c r="G20" s="6" t="s">
        <v>475</v>
      </c>
    </row>
    <row r="21" customFormat="false" ht="14.25" hidden="false" customHeight="false" outlineLevel="0" collapsed="false">
      <c r="A21" s="0" t="s">
        <v>512</v>
      </c>
      <c r="B21" s="0" t="s">
        <v>513</v>
      </c>
      <c r="C21" s="0" t="s">
        <v>413</v>
      </c>
      <c r="D21" s="0" t="n">
        <v>0</v>
      </c>
      <c r="E21" s="5" t="n">
        <v>43210</v>
      </c>
      <c r="F21" s="5" t="n">
        <v>46522</v>
      </c>
      <c r="G21" s="6" t="s">
        <v>475</v>
      </c>
    </row>
    <row r="22" customFormat="false" ht="14.25" hidden="false" customHeight="false" outlineLevel="0" collapsed="false">
      <c r="A22" s="0" t="s">
        <v>514</v>
      </c>
      <c r="B22" s="0" t="s">
        <v>515</v>
      </c>
      <c r="C22" s="0" t="s">
        <v>413</v>
      </c>
      <c r="D22" s="0" t="n">
        <v>0</v>
      </c>
      <c r="E22" s="5" t="n">
        <v>43210</v>
      </c>
      <c r="F22" s="5" t="n">
        <v>46522</v>
      </c>
      <c r="G22" s="6" t="s">
        <v>475</v>
      </c>
    </row>
    <row r="23" customFormat="false" ht="14.25" hidden="false" customHeight="false" outlineLevel="0" collapsed="false">
      <c r="A23" s="0" t="s">
        <v>516</v>
      </c>
      <c r="B23" s="0" t="s">
        <v>517</v>
      </c>
      <c r="C23" s="0" t="s">
        <v>413</v>
      </c>
      <c r="D23" s="0" t="n">
        <v>0</v>
      </c>
      <c r="E23" s="5" t="n">
        <v>43210</v>
      </c>
      <c r="F23" s="5" t="n">
        <v>46522</v>
      </c>
      <c r="G23" s="6" t="s">
        <v>475</v>
      </c>
    </row>
    <row r="24" customFormat="false" ht="14.25" hidden="false" customHeight="false" outlineLevel="0" collapsed="false">
      <c r="A24" s="0" t="s">
        <v>518</v>
      </c>
      <c r="B24" s="0" t="s">
        <v>519</v>
      </c>
      <c r="C24" s="0" t="s">
        <v>413</v>
      </c>
      <c r="D24" s="0" t="n">
        <v>0</v>
      </c>
      <c r="E24" s="5" t="n">
        <v>43210</v>
      </c>
      <c r="F24" s="5" t="n">
        <v>46522</v>
      </c>
      <c r="G24" s="6" t="s">
        <v>475</v>
      </c>
    </row>
    <row r="25" customFormat="false" ht="14.25" hidden="false" customHeight="false" outlineLevel="0" collapsed="false">
      <c r="A25" s="0" t="s">
        <v>520</v>
      </c>
      <c r="B25" s="0" t="s">
        <v>521</v>
      </c>
      <c r="C25" s="0" t="s">
        <v>413</v>
      </c>
      <c r="D25" s="0" t="n">
        <v>0</v>
      </c>
      <c r="E25" s="5" t="n">
        <v>43210</v>
      </c>
      <c r="F25" s="5" t="n">
        <v>46522</v>
      </c>
      <c r="G25" s="6" t="s">
        <v>475</v>
      </c>
    </row>
    <row r="26" customFormat="false" ht="14.25" hidden="false" customHeight="false" outlineLevel="0" collapsed="false">
      <c r="A26" s="0" t="s">
        <v>522</v>
      </c>
      <c r="B26" s="0" t="s">
        <v>523</v>
      </c>
      <c r="C26" s="0" t="s">
        <v>413</v>
      </c>
      <c r="D26" s="0" t="n">
        <v>0</v>
      </c>
      <c r="E26" s="5" t="n">
        <v>43210</v>
      </c>
      <c r="F26" s="5" t="n">
        <v>46522</v>
      </c>
      <c r="G26" s="6" t="s">
        <v>475</v>
      </c>
    </row>
    <row r="27" customFormat="false" ht="14.25" hidden="false" customHeight="false" outlineLevel="0" collapsed="false">
      <c r="A27" s="0" t="s">
        <v>524</v>
      </c>
      <c r="B27" s="0" t="s">
        <v>525</v>
      </c>
      <c r="C27" s="0" t="s">
        <v>413</v>
      </c>
      <c r="D27" s="0" t="n">
        <v>0</v>
      </c>
      <c r="E27" s="5" t="n">
        <v>43210</v>
      </c>
      <c r="F27" s="5" t="n">
        <v>46522</v>
      </c>
      <c r="G27" s="6" t="s">
        <v>475</v>
      </c>
    </row>
    <row r="28" customFormat="false" ht="14.25" hidden="false" customHeight="false" outlineLevel="0" collapsed="false">
      <c r="A28" s="0" t="s">
        <v>526</v>
      </c>
      <c r="B28" s="0" t="s">
        <v>527</v>
      </c>
      <c r="C28" s="0" t="s">
        <v>413</v>
      </c>
      <c r="D28" s="0" t="n">
        <v>0</v>
      </c>
      <c r="E28" s="5" t="n">
        <v>43210</v>
      </c>
      <c r="F28" s="5" t="n">
        <v>46522</v>
      </c>
      <c r="G28" s="6" t="s">
        <v>475</v>
      </c>
    </row>
    <row r="29" customFormat="false" ht="14.25" hidden="false" customHeight="false" outlineLevel="0" collapsed="false">
      <c r="A29" s="0" t="s">
        <v>528</v>
      </c>
      <c r="B29" s="0" t="s">
        <v>529</v>
      </c>
      <c r="C29" s="0" t="s">
        <v>413</v>
      </c>
      <c r="D29" s="0" t="n">
        <v>0</v>
      </c>
      <c r="E29" s="5" t="n">
        <v>43210</v>
      </c>
      <c r="F29" s="5" t="n">
        <v>46522</v>
      </c>
      <c r="G29" s="6" t="s">
        <v>475</v>
      </c>
    </row>
    <row r="30" customFormat="false" ht="14.25" hidden="false" customHeight="false" outlineLevel="0" collapsed="false">
      <c r="A30" s="0" t="s">
        <v>530</v>
      </c>
      <c r="B30" s="0" t="s">
        <v>531</v>
      </c>
      <c r="C30" s="0" t="s">
        <v>413</v>
      </c>
      <c r="D30" s="0" t="n">
        <v>1</v>
      </c>
      <c r="E30" s="5" t="n">
        <v>43210</v>
      </c>
      <c r="F30" s="5" t="n">
        <v>46522</v>
      </c>
      <c r="G30" s="6" t="s">
        <v>475</v>
      </c>
    </row>
    <row r="31" customFormat="false" ht="14.25" hidden="false" customHeight="false" outlineLevel="0" collapsed="false">
      <c r="A31" s="0" t="s">
        <v>532</v>
      </c>
      <c r="B31" s="0" t="s">
        <v>533</v>
      </c>
      <c r="C31" s="0" t="s">
        <v>413</v>
      </c>
      <c r="D31" s="0" t="n">
        <v>2</v>
      </c>
      <c r="E31" s="5" t="n">
        <v>43210</v>
      </c>
      <c r="F31" s="5" t="s">
        <v>534</v>
      </c>
      <c r="G31" s="6" t="s">
        <v>475</v>
      </c>
    </row>
    <row r="32" customFormat="false" ht="14.25" hidden="false" customHeight="false" outlineLevel="0" collapsed="false">
      <c r="A32" s="0" t="s">
        <v>535</v>
      </c>
      <c r="B32" s="0" t="s">
        <v>536</v>
      </c>
      <c r="C32" s="0" t="s">
        <v>413</v>
      </c>
      <c r="D32" s="0" t="n">
        <v>2</v>
      </c>
      <c r="E32" s="5" t="n">
        <v>43210</v>
      </c>
      <c r="F32" s="5" t="n">
        <v>46522</v>
      </c>
      <c r="G32" s="6" t="s">
        <v>475</v>
      </c>
    </row>
    <row r="33" customFormat="false" ht="14.25" hidden="false" customHeight="false" outlineLevel="0" collapsed="false">
      <c r="A33" s="0" t="s">
        <v>537</v>
      </c>
      <c r="B33" s="0" t="s">
        <v>538</v>
      </c>
      <c r="C33" s="0" t="s">
        <v>413</v>
      </c>
      <c r="D33" s="0" t="n">
        <v>0</v>
      </c>
      <c r="E33" s="5" t="n">
        <v>43210</v>
      </c>
      <c r="F33" s="5" t="n">
        <v>46522</v>
      </c>
      <c r="G33" s="6" t="s">
        <v>475</v>
      </c>
    </row>
    <row r="34" customFormat="false" ht="14.25" hidden="false" customHeight="false" outlineLevel="0" collapsed="false">
      <c r="A34" s="0" t="s">
        <v>539</v>
      </c>
      <c r="B34" s="0" t="s">
        <v>540</v>
      </c>
      <c r="C34" s="0" t="s">
        <v>413</v>
      </c>
      <c r="D34" s="0" t="n">
        <v>0</v>
      </c>
      <c r="E34" s="5" t="n">
        <v>43210</v>
      </c>
      <c r="F34" s="5" t="n">
        <v>46522</v>
      </c>
      <c r="G34" s="6" t="s">
        <v>475</v>
      </c>
    </row>
    <row r="35" customFormat="false" ht="14.25" hidden="false" customHeight="false" outlineLevel="0" collapsed="false">
      <c r="A35" s="0" t="s">
        <v>541</v>
      </c>
      <c r="B35" s="0" t="s">
        <v>542</v>
      </c>
      <c r="C35" s="0" t="s">
        <v>413</v>
      </c>
      <c r="D35" s="0" t="n">
        <v>0</v>
      </c>
      <c r="E35" s="5" t="n">
        <v>43210</v>
      </c>
      <c r="F35" s="5" t="n">
        <v>46522</v>
      </c>
      <c r="G35" s="6" t="s">
        <v>475</v>
      </c>
    </row>
    <row r="36" customFormat="false" ht="14.25" hidden="false" customHeight="false" outlineLevel="0" collapsed="false">
      <c r="A36" s="0" t="s">
        <v>543</v>
      </c>
      <c r="B36" s="0" t="s">
        <v>544</v>
      </c>
      <c r="C36" s="0" t="s">
        <v>413</v>
      </c>
      <c r="D36" s="0" t="n">
        <v>0</v>
      </c>
      <c r="E36" s="5" t="n">
        <v>43210</v>
      </c>
      <c r="F36" s="5" t="n">
        <v>46522</v>
      </c>
      <c r="G36" s="6" t="s">
        <v>475</v>
      </c>
    </row>
    <row r="37" customFormat="false" ht="14.25" hidden="false" customHeight="false" outlineLevel="0" collapsed="false">
      <c r="A37" s="0" t="s">
        <v>545</v>
      </c>
      <c r="B37" s="0" t="s">
        <v>546</v>
      </c>
      <c r="C37" s="0" t="s">
        <v>413</v>
      </c>
      <c r="D37" s="0" t="n">
        <v>0</v>
      </c>
      <c r="E37" s="5" t="n">
        <v>43210</v>
      </c>
      <c r="F37" s="5" t="n">
        <v>46522</v>
      </c>
      <c r="G37" s="6" t="s">
        <v>475</v>
      </c>
    </row>
    <row r="38" customFormat="false" ht="14.25" hidden="false" customHeight="false" outlineLevel="0" collapsed="false">
      <c r="A38" s="0" t="s">
        <v>547</v>
      </c>
      <c r="B38" s="0" t="s">
        <v>548</v>
      </c>
      <c r="C38" s="0" t="s">
        <v>413</v>
      </c>
      <c r="D38" s="0" t="n">
        <v>0</v>
      </c>
      <c r="E38" s="5" t="n">
        <v>43210</v>
      </c>
      <c r="F38" s="5" t="n">
        <v>46522</v>
      </c>
      <c r="G38" s="6" t="s">
        <v>475</v>
      </c>
    </row>
    <row r="39" customFormat="false" ht="14.25" hidden="false" customHeight="false" outlineLevel="0" collapsed="false">
      <c r="A39" s="0" t="s">
        <v>549</v>
      </c>
      <c r="B39" s="0" t="s">
        <v>550</v>
      </c>
      <c r="C39" s="0" t="s">
        <v>413</v>
      </c>
      <c r="D39" s="0" t="n">
        <v>0</v>
      </c>
      <c r="E39" s="5" t="n">
        <v>43210</v>
      </c>
      <c r="F39" s="5" t="n">
        <v>46522</v>
      </c>
      <c r="G39" s="6" t="s">
        <v>475</v>
      </c>
    </row>
    <row r="40" customFormat="false" ht="14.25" hidden="false" customHeight="false" outlineLevel="0" collapsed="false">
      <c r="A40" s="0" t="s">
        <v>551</v>
      </c>
      <c r="B40" s="0" t="s">
        <v>552</v>
      </c>
      <c r="C40" s="0" t="s">
        <v>413</v>
      </c>
      <c r="D40" s="0" t="n">
        <v>0</v>
      </c>
      <c r="E40" s="5" t="n">
        <v>43210</v>
      </c>
      <c r="F40" s="5" t="n">
        <v>46522</v>
      </c>
      <c r="G40" s="6" t="s">
        <v>475</v>
      </c>
    </row>
    <row r="41" customFormat="false" ht="14.25" hidden="false" customHeight="false" outlineLevel="0" collapsed="false">
      <c r="A41" s="0" t="s">
        <v>553</v>
      </c>
      <c r="B41" s="0" t="s">
        <v>554</v>
      </c>
      <c r="C41" s="0" t="s">
        <v>413</v>
      </c>
      <c r="D41" s="0" t="n">
        <v>0</v>
      </c>
      <c r="E41" s="5" t="n">
        <v>43210</v>
      </c>
      <c r="F41" s="5" t="n">
        <v>46522</v>
      </c>
      <c r="G41" s="6" t="s">
        <v>475</v>
      </c>
    </row>
    <row r="42" customFormat="false" ht="14.25" hidden="false" customHeight="false" outlineLevel="0" collapsed="false">
      <c r="A42" s="0" t="s">
        <v>555</v>
      </c>
      <c r="B42" s="0" t="s">
        <v>556</v>
      </c>
      <c r="C42" s="0" t="s">
        <v>413</v>
      </c>
      <c r="D42" s="0" t="n">
        <v>0</v>
      </c>
      <c r="E42" s="5" t="n">
        <v>43210</v>
      </c>
      <c r="F42" s="5" t="n">
        <v>46522</v>
      </c>
      <c r="G42" s="6" t="s">
        <v>475</v>
      </c>
    </row>
    <row r="43" customFormat="false" ht="14.25" hidden="false" customHeight="false" outlineLevel="0" collapsed="false">
      <c r="A43" s="0" t="s">
        <v>557</v>
      </c>
      <c r="B43" s="0" t="s">
        <v>558</v>
      </c>
      <c r="C43" s="0" t="s">
        <v>413</v>
      </c>
      <c r="D43" s="0" t="n">
        <v>0</v>
      </c>
      <c r="E43" s="5" t="n">
        <v>43210</v>
      </c>
      <c r="F43" s="5" t="n">
        <v>46522</v>
      </c>
      <c r="G43" s="6" t="s">
        <v>475</v>
      </c>
    </row>
    <row r="44" customFormat="false" ht="14.25" hidden="false" customHeight="false" outlineLevel="0" collapsed="false">
      <c r="A44" s="0" t="s">
        <v>559</v>
      </c>
      <c r="B44" s="0" t="s">
        <v>560</v>
      </c>
      <c r="C44" s="0" t="s">
        <v>413</v>
      </c>
      <c r="D44" s="0" t="n">
        <v>0</v>
      </c>
      <c r="E44" s="5" t="n">
        <v>43240</v>
      </c>
      <c r="F44" s="5" t="n">
        <v>46522</v>
      </c>
      <c r="G44" s="6" t="s">
        <v>475</v>
      </c>
    </row>
    <row r="45" customFormat="false" ht="14.25" hidden="false" customHeight="false" outlineLevel="0" collapsed="false">
      <c r="A45" s="0" t="s">
        <v>561</v>
      </c>
      <c r="B45" s="0" t="s">
        <v>562</v>
      </c>
      <c r="C45" s="0" t="s">
        <v>413</v>
      </c>
      <c r="D45" s="0" t="n">
        <v>0</v>
      </c>
      <c r="E45" s="5" t="n">
        <v>43210</v>
      </c>
      <c r="F45" s="5" t="n">
        <v>46522</v>
      </c>
      <c r="G45" s="6" t="s">
        <v>475</v>
      </c>
    </row>
    <row r="46" customFormat="false" ht="14.25" hidden="false" customHeight="false" outlineLevel="0" collapsed="false">
      <c r="A46" s="0" t="s">
        <v>563</v>
      </c>
      <c r="B46" s="0" t="s">
        <v>564</v>
      </c>
      <c r="C46" s="0" t="s">
        <v>413</v>
      </c>
      <c r="D46" s="0" t="n">
        <v>0</v>
      </c>
      <c r="E46" s="5" t="n">
        <v>43210</v>
      </c>
      <c r="F46" s="5" t="n">
        <v>46522</v>
      </c>
      <c r="G46" s="6" t="s">
        <v>475</v>
      </c>
    </row>
    <row r="47" customFormat="false" ht="14.25" hidden="false" customHeight="false" outlineLevel="0" collapsed="false">
      <c r="A47" s="0" t="s">
        <v>565</v>
      </c>
      <c r="B47" s="0" t="s">
        <v>566</v>
      </c>
      <c r="C47" s="0" t="s">
        <v>413</v>
      </c>
      <c r="D47" s="0" t="n">
        <v>0</v>
      </c>
      <c r="E47" s="5" t="n">
        <v>43210</v>
      </c>
      <c r="F47" s="5" t="n">
        <v>46522</v>
      </c>
      <c r="G47" s="6" t="s">
        <v>475</v>
      </c>
    </row>
    <row r="48" customFormat="false" ht="14.25" hidden="false" customHeight="false" outlineLevel="0" collapsed="false">
      <c r="A48" s="0" t="s">
        <v>567</v>
      </c>
      <c r="B48" s="0" t="s">
        <v>568</v>
      </c>
      <c r="C48" s="0" t="s">
        <v>413</v>
      </c>
      <c r="D48" s="0" t="n">
        <v>0</v>
      </c>
      <c r="E48" s="5" t="n">
        <v>43210</v>
      </c>
      <c r="F48" s="5" t="n">
        <v>46522</v>
      </c>
      <c r="G48" s="6" t="s">
        <v>475</v>
      </c>
    </row>
    <row r="49" customFormat="false" ht="14.25" hidden="false" customHeight="false" outlineLevel="0" collapsed="false">
      <c r="A49" s="0" t="s">
        <v>569</v>
      </c>
      <c r="B49" s="0" t="s">
        <v>570</v>
      </c>
      <c r="C49" s="0" t="s">
        <v>413</v>
      </c>
      <c r="D49" s="0" t="n">
        <v>0</v>
      </c>
      <c r="E49" s="5" t="n">
        <v>43210</v>
      </c>
      <c r="F49" s="5" t="n">
        <v>46522</v>
      </c>
      <c r="G49" s="6" t="s">
        <v>475</v>
      </c>
    </row>
    <row r="50" customFormat="false" ht="14.25" hidden="false" customHeight="false" outlineLevel="0" collapsed="false">
      <c r="A50" s="0" t="s">
        <v>571</v>
      </c>
      <c r="B50" s="0" t="s">
        <v>572</v>
      </c>
      <c r="C50" s="0" t="s">
        <v>413</v>
      </c>
      <c r="D50" s="0" t="n">
        <v>0</v>
      </c>
      <c r="E50" s="5" t="n">
        <v>43210</v>
      </c>
      <c r="F50" s="5" t="n">
        <v>46522</v>
      </c>
      <c r="G50" s="6" t="s">
        <v>475</v>
      </c>
    </row>
    <row r="51" customFormat="false" ht="14.25" hidden="false" customHeight="false" outlineLevel="0" collapsed="false">
      <c r="A51" s="0" t="s">
        <v>573</v>
      </c>
      <c r="B51" s="0" t="s">
        <v>574</v>
      </c>
      <c r="C51" s="0" t="s">
        <v>413</v>
      </c>
      <c r="D51" s="0" t="n">
        <v>0</v>
      </c>
      <c r="E51" s="5" t="n">
        <v>43210</v>
      </c>
      <c r="F51" s="5" t="n">
        <v>46522</v>
      </c>
      <c r="G51" s="6" t="s">
        <v>475</v>
      </c>
    </row>
    <row r="52" customFormat="false" ht="14.25" hidden="false" customHeight="false" outlineLevel="0" collapsed="false">
      <c r="A52" s="0" t="s">
        <v>575</v>
      </c>
      <c r="B52" s="0" t="s">
        <v>576</v>
      </c>
      <c r="C52" s="0" t="s">
        <v>413</v>
      </c>
      <c r="D52" s="0" t="n">
        <v>0</v>
      </c>
      <c r="E52" s="5" t="n">
        <v>43210</v>
      </c>
      <c r="F52" s="5" t="n">
        <v>46522</v>
      </c>
      <c r="G52" s="6" t="s">
        <v>475</v>
      </c>
    </row>
    <row r="53" customFormat="false" ht="14.25" hidden="false" customHeight="false" outlineLevel="0" collapsed="false">
      <c r="A53" s="0" t="s">
        <v>577</v>
      </c>
      <c r="B53" s="0" t="s">
        <v>578</v>
      </c>
      <c r="C53" s="0" t="s">
        <v>413</v>
      </c>
      <c r="D53" s="0" t="n">
        <v>0</v>
      </c>
      <c r="E53" s="5" t="n">
        <v>43210</v>
      </c>
      <c r="F53" s="5" t="n">
        <v>46522</v>
      </c>
      <c r="G53" s="6" t="s">
        <v>475</v>
      </c>
    </row>
    <row r="54" customFormat="false" ht="14.25" hidden="false" customHeight="false" outlineLevel="0" collapsed="false">
      <c r="A54" s="0" t="s">
        <v>579</v>
      </c>
      <c r="B54" s="0" t="s">
        <v>580</v>
      </c>
      <c r="C54" s="0" t="s">
        <v>413</v>
      </c>
      <c r="D54" s="0" t="n">
        <v>0</v>
      </c>
      <c r="E54" s="5" t="n">
        <v>43210</v>
      </c>
      <c r="F54" s="5" t="n">
        <v>46522</v>
      </c>
      <c r="G54" s="6" t="s">
        <v>475</v>
      </c>
    </row>
    <row r="55" customFormat="false" ht="14.25" hidden="false" customHeight="false" outlineLevel="0" collapsed="false">
      <c r="A55" s="0" t="s">
        <v>581</v>
      </c>
      <c r="B55" s="0" t="s">
        <v>582</v>
      </c>
      <c r="C55" s="0" t="s">
        <v>413</v>
      </c>
      <c r="D55" s="0" t="n">
        <v>0</v>
      </c>
      <c r="E55" s="5" t="n">
        <v>43210</v>
      </c>
      <c r="F55" s="5" t="n">
        <v>46522</v>
      </c>
      <c r="G55" s="6" t="s">
        <v>475</v>
      </c>
    </row>
    <row r="56" customFormat="false" ht="14.25" hidden="false" customHeight="false" outlineLevel="0" collapsed="false">
      <c r="A56" s="0" t="s">
        <v>583</v>
      </c>
      <c r="B56" s="0" t="s">
        <v>584</v>
      </c>
      <c r="C56" s="0" t="s">
        <v>413</v>
      </c>
      <c r="D56" s="0" t="n">
        <v>0</v>
      </c>
      <c r="E56" s="5" t="n">
        <v>43210</v>
      </c>
      <c r="F56" s="5" t="n">
        <v>46522</v>
      </c>
      <c r="G56" s="6" t="s">
        <v>475</v>
      </c>
    </row>
    <row r="57" customFormat="false" ht="14.25" hidden="false" customHeight="false" outlineLevel="0" collapsed="false">
      <c r="A57" s="0" t="s">
        <v>585</v>
      </c>
      <c r="B57" s="0" t="s">
        <v>586</v>
      </c>
      <c r="C57" s="0" t="s">
        <v>413</v>
      </c>
      <c r="D57" s="0" t="n">
        <v>0</v>
      </c>
      <c r="E57" s="5" t="n">
        <v>43210</v>
      </c>
      <c r="F57" s="5" t="n">
        <v>46522</v>
      </c>
      <c r="G57" s="6" t="s">
        <v>475</v>
      </c>
    </row>
    <row r="58" customFormat="false" ht="14.25" hidden="false" customHeight="false" outlineLevel="0" collapsed="false">
      <c r="A58" s="0" t="s">
        <v>587</v>
      </c>
      <c r="B58" s="0" t="s">
        <v>588</v>
      </c>
      <c r="C58" s="0" t="s">
        <v>413</v>
      </c>
      <c r="D58" s="0" t="n">
        <v>0</v>
      </c>
      <c r="E58" s="5" t="n">
        <v>43210</v>
      </c>
      <c r="F58" s="5" t="n">
        <v>46522</v>
      </c>
      <c r="G58" s="6" t="s">
        <v>475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9"/>
  <sheetViews>
    <sheetView showFormulas="false" showGridLines="true" showRowColHeaders="true" showZeros="true" rightToLeft="false" tabSelected="false" showOutlineSymbols="true" defaultGridColor="true" view="normal" topLeftCell="A85" colorId="64" zoomScale="100" zoomScaleNormal="100" zoomScalePageLayoutView="100" workbookViewId="0">
      <selection pane="topLeft" activeCell="L77" activeCellId="0" sqref="L77"/>
    </sheetView>
  </sheetViews>
  <sheetFormatPr defaultColWidth="8.6796875" defaultRowHeight="14.2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9.56"/>
    <col collapsed="false" customWidth="true" hidden="false" outlineLevel="0" max="3" min="3" style="0" width="26.67"/>
    <col collapsed="false" customWidth="true" hidden="false" outlineLevel="0" max="4" min="4" style="0" width="14.78"/>
    <col collapsed="false" customWidth="true" hidden="false" outlineLevel="0" max="5" min="5" style="0" width="14.44"/>
    <col collapsed="false" customWidth="true" hidden="false" outlineLevel="0" max="6" min="6" style="0" width="16.11"/>
    <col collapsed="false" customWidth="true" hidden="false" outlineLevel="0" max="7" min="7" style="0" width="18.78"/>
    <col collapsed="false" customWidth="true" hidden="false" outlineLevel="0" max="8" min="8" style="0" width="13.56"/>
    <col collapsed="false" customWidth="true" hidden="false" outlineLevel="0" max="10" min="10" style="0" width="21.33"/>
    <col collapsed="false" customWidth="true" hidden="false" outlineLevel="0" max="12" min="11" style="0" width="17.77"/>
  </cols>
  <sheetData>
    <row r="1" customFormat="false" ht="14.25" hidden="false" customHeight="false" outlineLevel="0" collapsed="false">
      <c r="A1" s="0" t="s">
        <v>589</v>
      </c>
      <c r="B1" s="0" t="s">
        <v>590</v>
      </c>
      <c r="C1" s="0" t="s">
        <v>591</v>
      </c>
      <c r="D1" s="0" t="s">
        <v>592</v>
      </c>
      <c r="E1" s="0" t="s">
        <v>593</v>
      </c>
      <c r="F1" s="0" t="s">
        <v>594</v>
      </c>
      <c r="G1" s="0" t="s">
        <v>21</v>
      </c>
      <c r="H1" s="0" t="s">
        <v>595</v>
      </c>
      <c r="I1" s="0" t="s">
        <v>596</v>
      </c>
      <c r="J1" s="0" t="s">
        <v>597</v>
      </c>
      <c r="K1" s="0" t="s">
        <v>598</v>
      </c>
      <c r="L1" s="0" t="s">
        <v>599</v>
      </c>
    </row>
    <row r="2" customFormat="false" ht="14.25" hidden="false" customHeight="false" outlineLevel="0" collapsed="false">
      <c r="A2" s="0" t="s">
        <v>600</v>
      </c>
      <c r="B2" s="7" t="n">
        <v>8409215036083</v>
      </c>
      <c r="C2" s="6" t="s">
        <v>601</v>
      </c>
      <c r="D2" s="6" t="s">
        <v>602</v>
      </c>
      <c r="E2" s="5" t="n">
        <v>42796</v>
      </c>
      <c r="F2" s="5"/>
      <c r="G2" s="6" t="s">
        <v>603</v>
      </c>
      <c r="H2" s="6" t="s">
        <v>604</v>
      </c>
      <c r="I2" s="6" t="s">
        <v>605</v>
      </c>
      <c r="J2" s="6" t="s">
        <v>606</v>
      </c>
      <c r="K2" s="5" t="n">
        <v>44742</v>
      </c>
    </row>
    <row r="3" customFormat="false" ht="14.25" hidden="false" customHeight="false" outlineLevel="0" collapsed="false">
      <c r="A3" s="0" t="s">
        <v>607</v>
      </c>
      <c r="B3" s="7" t="n">
        <v>6503185125082</v>
      </c>
      <c r="C3" s="6" t="s">
        <v>608</v>
      </c>
      <c r="D3" s="5" t="s">
        <v>602</v>
      </c>
      <c r="E3" s="5"/>
      <c r="F3" s="5"/>
      <c r="G3" s="5" t="s">
        <v>603</v>
      </c>
      <c r="H3" s="5" t="s">
        <v>604</v>
      </c>
      <c r="J3" s="6" t="s">
        <v>609</v>
      </c>
      <c r="K3" s="5" t="n">
        <v>40988</v>
      </c>
    </row>
    <row r="4" customFormat="false" ht="14.25" hidden="false" customHeight="false" outlineLevel="0" collapsed="false">
      <c r="D4" s="5"/>
      <c r="E4" s="5"/>
      <c r="F4" s="5"/>
      <c r="G4" s="5"/>
      <c r="J4" s="6" t="s">
        <v>610</v>
      </c>
      <c r="K4" s="5" t="n">
        <v>40985</v>
      </c>
    </row>
    <row r="5" customFormat="false" ht="14.25" hidden="false" customHeight="false" outlineLevel="0" collapsed="false">
      <c r="A5" s="0" t="s">
        <v>611</v>
      </c>
      <c r="B5" s="7" t="n">
        <v>9411305182081</v>
      </c>
      <c r="C5" s="6" t="s">
        <v>612</v>
      </c>
      <c r="D5" s="5" t="s">
        <v>613</v>
      </c>
      <c r="E5" s="5"/>
      <c r="F5" s="5"/>
      <c r="H5" s="6" t="s">
        <v>614</v>
      </c>
      <c r="I5" s="6" t="s">
        <v>615</v>
      </c>
      <c r="J5" s="6" t="s">
        <v>616</v>
      </c>
      <c r="K5" s="5" t="n">
        <v>45806</v>
      </c>
      <c r="L5" s="5" t="n">
        <v>46535</v>
      </c>
    </row>
    <row r="6" customFormat="false" ht="14.25" hidden="false" customHeight="false" outlineLevel="0" collapsed="false">
      <c r="A6" s="0" t="s">
        <v>617</v>
      </c>
      <c r="B6" s="7" t="n">
        <v>7311015109089</v>
      </c>
      <c r="C6" s="6" t="s">
        <v>618</v>
      </c>
      <c r="D6" s="5" t="s">
        <v>613</v>
      </c>
      <c r="E6" s="5"/>
      <c r="F6" s="5"/>
      <c r="H6" s="6" t="s">
        <v>604</v>
      </c>
      <c r="I6" s="6" t="s">
        <v>619</v>
      </c>
      <c r="J6" s="6" t="s">
        <v>609</v>
      </c>
      <c r="K6" s="5" t="n">
        <v>41206</v>
      </c>
      <c r="L6" s="6" t="s">
        <v>620</v>
      </c>
    </row>
    <row r="7" customFormat="false" ht="14.25" hidden="false" customHeight="false" outlineLevel="0" collapsed="false">
      <c r="E7" s="5"/>
      <c r="F7" s="5"/>
      <c r="J7" s="6" t="s">
        <v>610</v>
      </c>
      <c r="K7" s="5" t="n">
        <v>43539</v>
      </c>
      <c r="L7" s="6" t="s">
        <v>620</v>
      </c>
    </row>
    <row r="8" customFormat="false" ht="14.25" hidden="false" customHeight="false" outlineLevel="0" collapsed="false">
      <c r="E8" s="5"/>
      <c r="F8" s="5"/>
      <c r="J8" s="6" t="s">
        <v>621</v>
      </c>
      <c r="K8" s="5" t="n">
        <v>45791</v>
      </c>
      <c r="L8" s="5" t="n">
        <v>46521</v>
      </c>
    </row>
    <row r="9" customFormat="false" ht="14.25" hidden="false" customHeight="false" outlineLevel="0" collapsed="false">
      <c r="E9" s="5"/>
      <c r="F9" s="5"/>
      <c r="J9" s="6" t="s">
        <v>622</v>
      </c>
      <c r="K9" s="5" t="n">
        <v>45015</v>
      </c>
      <c r="L9" s="5" t="n">
        <v>45746</v>
      </c>
    </row>
    <row r="10" customFormat="false" ht="14.25" hidden="false" customHeight="false" outlineLevel="0" collapsed="false">
      <c r="E10" s="5"/>
      <c r="F10" s="5"/>
      <c r="J10" s="6" t="s">
        <v>623</v>
      </c>
      <c r="K10" s="5" t="n">
        <v>46163</v>
      </c>
      <c r="L10" s="5" t="n">
        <v>47258</v>
      </c>
    </row>
    <row r="11" customFormat="false" ht="14.25" hidden="false" customHeight="false" outlineLevel="0" collapsed="false">
      <c r="B11" s="7"/>
      <c r="E11" s="5"/>
      <c r="F11" s="5"/>
      <c r="J11" s="6" t="s">
        <v>624</v>
      </c>
      <c r="K11" s="5" t="n">
        <v>45784</v>
      </c>
      <c r="L11" s="5" t="n">
        <v>46514</v>
      </c>
    </row>
    <row r="12" customFormat="false" ht="14.25" hidden="false" customHeight="false" outlineLevel="0" collapsed="false">
      <c r="A12" s="0" t="s">
        <v>625</v>
      </c>
      <c r="B12" s="7" t="n">
        <v>8312235029080</v>
      </c>
      <c r="C12" s="6" t="s">
        <v>626</v>
      </c>
      <c r="D12" s="6" t="s">
        <v>627</v>
      </c>
      <c r="E12" s="5" t="n">
        <v>37530</v>
      </c>
      <c r="F12" s="5"/>
      <c r="G12" s="6" t="s">
        <v>628</v>
      </c>
      <c r="H12" s="6" t="s">
        <v>629</v>
      </c>
      <c r="I12" s="6" t="s">
        <v>630</v>
      </c>
      <c r="J12" s="6" t="s">
        <v>613</v>
      </c>
    </row>
    <row r="13" customFormat="false" ht="14.25" hidden="false" customHeight="false" outlineLevel="0" collapsed="false">
      <c r="A13" s="0" t="s">
        <v>631</v>
      </c>
      <c r="B13" s="7" t="n">
        <v>8306075293087</v>
      </c>
      <c r="C13" s="6" t="s">
        <v>632</v>
      </c>
      <c r="D13" s="6" t="s">
        <v>633</v>
      </c>
      <c r="E13" s="5" t="n">
        <v>37226</v>
      </c>
      <c r="F13" s="5"/>
      <c r="G13" s="6" t="s">
        <v>603</v>
      </c>
      <c r="H13" s="6" t="s">
        <v>604</v>
      </c>
      <c r="I13" s="6" t="s">
        <v>634</v>
      </c>
      <c r="J13" s="6" t="s">
        <v>635</v>
      </c>
      <c r="K13" s="5" t="n">
        <v>46163</v>
      </c>
      <c r="L13" s="5" t="n">
        <v>47258</v>
      </c>
    </row>
    <row r="14" customFormat="false" ht="14.25" hidden="false" customHeight="false" outlineLevel="0" collapsed="false">
      <c r="C14" s="0" t="s">
        <v>636</v>
      </c>
      <c r="D14" s="0" t="s">
        <v>637</v>
      </c>
      <c r="E14" s="5" t="n">
        <v>37895</v>
      </c>
      <c r="F14" s="5"/>
      <c r="G14" s="6" t="s">
        <v>603</v>
      </c>
      <c r="H14" s="6" t="s">
        <v>604</v>
      </c>
      <c r="J14" s="6" t="s">
        <v>638</v>
      </c>
      <c r="K14" s="5" t="n">
        <v>45840</v>
      </c>
      <c r="L14" s="5" t="n">
        <v>46570</v>
      </c>
    </row>
    <row r="15" customFormat="false" ht="14.25" hidden="false" customHeight="false" outlineLevel="0" collapsed="false">
      <c r="A15" s="0" t="s">
        <v>639</v>
      </c>
      <c r="B15" s="7" t="n">
        <v>7007275401089</v>
      </c>
      <c r="C15" s="6" t="s">
        <v>636</v>
      </c>
      <c r="D15" s="6" t="s">
        <v>640</v>
      </c>
      <c r="E15" s="5" t="n">
        <v>33604</v>
      </c>
      <c r="F15" s="5"/>
      <c r="G15" s="6" t="s">
        <v>603</v>
      </c>
      <c r="H15" s="6" t="s">
        <v>604</v>
      </c>
      <c r="I15" s="6" t="s">
        <v>641</v>
      </c>
      <c r="J15" s="6" t="s">
        <v>613</v>
      </c>
    </row>
    <row r="16" customFormat="false" ht="14.25" hidden="false" customHeight="false" outlineLevel="0" collapsed="false">
      <c r="A16" s="0" t="s">
        <v>642</v>
      </c>
      <c r="B16" s="7" t="n">
        <v>6505125179087</v>
      </c>
      <c r="C16" s="6" t="s">
        <v>643</v>
      </c>
      <c r="D16" s="6" t="s">
        <v>613</v>
      </c>
      <c r="E16" s="5"/>
      <c r="F16" s="5"/>
      <c r="G16" s="6" t="s">
        <v>603</v>
      </c>
      <c r="H16" s="6" t="s">
        <v>604</v>
      </c>
      <c r="I16" s="6" t="s">
        <v>644</v>
      </c>
      <c r="J16" s="6" t="s">
        <v>613</v>
      </c>
    </row>
    <row r="17" customFormat="false" ht="14.25" hidden="false" customHeight="false" outlineLevel="0" collapsed="false">
      <c r="A17" s="0" t="s">
        <v>645</v>
      </c>
      <c r="B17" s="7" t="n">
        <v>6609305298087</v>
      </c>
      <c r="C17" s="6" t="s">
        <v>646</v>
      </c>
      <c r="D17" s="6" t="s">
        <v>613</v>
      </c>
      <c r="E17" s="5"/>
      <c r="F17" s="5"/>
      <c r="G17" s="6" t="s">
        <v>603</v>
      </c>
      <c r="H17" s="6" t="s">
        <v>604</v>
      </c>
      <c r="I17" s="6" t="s">
        <v>647</v>
      </c>
      <c r="J17" s="6" t="s">
        <v>613</v>
      </c>
    </row>
    <row r="18" customFormat="false" ht="14.25" hidden="false" customHeight="false" outlineLevel="0" collapsed="false">
      <c r="A18" s="0" t="s">
        <v>648</v>
      </c>
      <c r="B18" s="0" t="s">
        <v>649</v>
      </c>
      <c r="C18" s="0" t="s">
        <v>650</v>
      </c>
      <c r="D18" s="0" t="s">
        <v>651</v>
      </c>
      <c r="E18" s="5" t="n">
        <v>45498</v>
      </c>
      <c r="F18" s="5"/>
      <c r="G18" s="6" t="s">
        <v>603</v>
      </c>
      <c r="H18" s="6" t="s">
        <v>604</v>
      </c>
      <c r="I18" s="6" t="s">
        <v>652</v>
      </c>
      <c r="J18" s="6" t="s">
        <v>653</v>
      </c>
    </row>
    <row r="19" customFormat="false" ht="14.25" hidden="false" customHeight="false" outlineLevel="0" collapsed="false">
      <c r="A19" s="0" t="s">
        <v>654</v>
      </c>
      <c r="B19" s="7" t="n">
        <v>7101115009085</v>
      </c>
      <c r="C19" s="6" t="s">
        <v>655</v>
      </c>
      <c r="D19" s="6" t="s">
        <v>627</v>
      </c>
      <c r="E19" s="5" t="s">
        <v>620</v>
      </c>
      <c r="F19" s="5"/>
      <c r="G19" s="6" t="s">
        <v>603</v>
      </c>
      <c r="H19" s="6" t="s">
        <v>604</v>
      </c>
      <c r="I19" s="6" t="s">
        <v>656</v>
      </c>
      <c r="J19" s="6" t="s">
        <v>657</v>
      </c>
      <c r="K19" s="5" t="n">
        <v>36771</v>
      </c>
    </row>
    <row r="20" customFormat="false" ht="14.25" hidden="false" customHeight="false" outlineLevel="0" collapsed="false">
      <c r="E20" s="5"/>
      <c r="F20" s="5"/>
      <c r="J20" s="6" t="s">
        <v>658</v>
      </c>
      <c r="K20" s="5" t="n">
        <v>42328</v>
      </c>
    </row>
    <row r="21" customFormat="false" ht="14.25" hidden="false" customHeight="false" outlineLevel="0" collapsed="false">
      <c r="E21" s="5"/>
      <c r="F21" s="5"/>
      <c r="J21" s="6" t="s">
        <v>659</v>
      </c>
      <c r="K21" s="5" t="n">
        <v>42249</v>
      </c>
    </row>
    <row r="22" customFormat="false" ht="14.25" hidden="false" customHeight="false" outlineLevel="0" collapsed="false">
      <c r="E22" s="5"/>
      <c r="F22" s="5"/>
      <c r="J22" s="6" t="s">
        <v>660</v>
      </c>
      <c r="K22" s="5" t="n">
        <v>42248</v>
      </c>
    </row>
    <row r="23" customFormat="false" ht="14.25" hidden="false" customHeight="false" outlineLevel="0" collapsed="false">
      <c r="E23" s="5"/>
      <c r="F23" s="5"/>
      <c r="J23" s="6" t="s">
        <v>661</v>
      </c>
      <c r="K23" s="5" t="n">
        <v>42250</v>
      </c>
    </row>
    <row r="24" customFormat="false" ht="14.25" hidden="false" customHeight="false" outlineLevel="0" collapsed="false">
      <c r="E24" s="5"/>
      <c r="F24" s="5"/>
      <c r="J24" s="6" t="s">
        <v>610</v>
      </c>
      <c r="K24" s="5" t="n">
        <v>42078</v>
      </c>
    </row>
    <row r="25" customFormat="false" ht="14.25" hidden="false" customHeight="false" outlineLevel="0" collapsed="false">
      <c r="E25" s="5"/>
      <c r="F25" s="5"/>
      <c r="J25" s="6" t="s">
        <v>662</v>
      </c>
    </row>
    <row r="26" customFormat="false" ht="14.25" hidden="false" customHeight="false" outlineLevel="0" collapsed="false">
      <c r="A26" s="0" t="s">
        <v>663</v>
      </c>
      <c r="B26" s="7" t="n">
        <v>9004026380082</v>
      </c>
      <c r="C26" s="6" t="s">
        <v>664</v>
      </c>
      <c r="D26" s="6" t="s">
        <v>665</v>
      </c>
      <c r="E26" s="5" t="n">
        <v>40183</v>
      </c>
      <c r="F26" s="5"/>
      <c r="G26" s="6" t="s">
        <v>628</v>
      </c>
      <c r="H26" s="6" t="s">
        <v>629</v>
      </c>
      <c r="I26" s="6" t="s">
        <v>666</v>
      </c>
      <c r="J26" s="6" t="s">
        <v>638</v>
      </c>
      <c r="K26" s="5" t="n">
        <v>45804</v>
      </c>
      <c r="L26" s="5" t="n">
        <v>46534</v>
      </c>
    </row>
    <row r="27" customFormat="false" ht="14.25" hidden="false" customHeight="false" outlineLevel="0" collapsed="false">
      <c r="E27" s="5"/>
      <c r="F27" s="5"/>
      <c r="J27" s="6" t="s">
        <v>667</v>
      </c>
      <c r="K27" s="5" t="n">
        <v>45203</v>
      </c>
      <c r="L27" s="6" t="s">
        <v>629</v>
      </c>
    </row>
    <row r="28" customFormat="false" ht="14.25" hidden="false" customHeight="false" outlineLevel="0" collapsed="false">
      <c r="A28" s="0" t="s">
        <v>668</v>
      </c>
      <c r="B28" s="7" t="n">
        <v>8104220295085</v>
      </c>
      <c r="C28" s="6" t="s">
        <v>669</v>
      </c>
      <c r="D28" s="6" t="s">
        <v>670</v>
      </c>
      <c r="E28" s="5" t="n">
        <v>36374</v>
      </c>
      <c r="F28" s="5"/>
      <c r="G28" s="6" t="s">
        <v>628</v>
      </c>
      <c r="H28" s="6" t="s">
        <v>629</v>
      </c>
      <c r="J28" s="6" t="s">
        <v>635</v>
      </c>
      <c r="K28" s="5" t="n">
        <v>45062</v>
      </c>
      <c r="L28" s="5" t="n">
        <v>46158</v>
      </c>
    </row>
    <row r="29" customFormat="false" ht="14.25" hidden="false" customHeight="false" outlineLevel="0" collapsed="false">
      <c r="A29" s="0" t="s">
        <v>671</v>
      </c>
      <c r="B29" s="7" t="n">
        <v>203255677080</v>
      </c>
      <c r="C29" s="6" t="s">
        <v>672</v>
      </c>
      <c r="D29" s="6" t="s">
        <v>633</v>
      </c>
      <c r="E29" s="5" t="n">
        <v>44531</v>
      </c>
      <c r="F29" s="5"/>
      <c r="G29" s="6" t="s">
        <v>628</v>
      </c>
      <c r="H29" s="6" t="s">
        <v>673</v>
      </c>
      <c r="I29" s="6" t="s">
        <v>674</v>
      </c>
    </row>
    <row r="30" customFormat="false" ht="14.25" hidden="false" customHeight="false" outlineLevel="0" collapsed="false">
      <c r="A30" s="0" t="s">
        <v>675</v>
      </c>
      <c r="B30" s="7" t="n">
        <v>6903126380186</v>
      </c>
      <c r="C30" s="6" t="s">
        <v>676</v>
      </c>
      <c r="D30" s="6" t="s">
        <v>613</v>
      </c>
      <c r="E30" s="5"/>
      <c r="F30" s="5"/>
      <c r="G30" s="6" t="s">
        <v>603</v>
      </c>
      <c r="H30" s="6" t="s">
        <v>604</v>
      </c>
      <c r="I30" s="6" t="s">
        <v>677</v>
      </c>
      <c r="J30" s="6" t="s">
        <v>610</v>
      </c>
      <c r="K30" s="5" t="n">
        <v>43539</v>
      </c>
    </row>
    <row r="31" customFormat="false" ht="14.25" hidden="false" customHeight="false" outlineLevel="0" collapsed="false">
      <c r="B31" s="7"/>
      <c r="E31" s="5"/>
      <c r="F31" s="5"/>
      <c r="J31" s="6" t="s">
        <v>635</v>
      </c>
      <c r="K31" s="5" t="n">
        <v>46191</v>
      </c>
      <c r="L31" s="5" t="n">
        <v>47286</v>
      </c>
    </row>
    <row r="32" customFormat="false" ht="14.25" hidden="false" customHeight="false" outlineLevel="0" collapsed="false">
      <c r="E32" s="5"/>
      <c r="F32" s="5"/>
      <c r="J32" s="6" t="s">
        <v>621</v>
      </c>
      <c r="K32" s="5" t="n">
        <v>45791</v>
      </c>
      <c r="L32" s="5" t="n">
        <v>46521</v>
      </c>
    </row>
    <row r="33" customFormat="false" ht="14.25" hidden="false" customHeight="false" outlineLevel="0" collapsed="false">
      <c r="A33" s="0" t="s">
        <v>678</v>
      </c>
      <c r="B33" s="7" t="n">
        <v>8708065113086</v>
      </c>
      <c r="C33" s="6" t="s">
        <v>679</v>
      </c>
      <c r="D33" s="5" t="s">
        <v>613</v>
      </c>
      <c r="E33" s="5" t="n">
        <v>42506</v>
      </c>
      <c r="F33" s="5"/>
      <c r="G33" s="6" t="s">
        <v>628</v>
      </c>
      <c r="H33" s="6" t="s">
        <v>629</v>
      </c>
      <c r="I33" s="6" t="s">
        <v>680</v>
      </c>
      <c r="J33" s="6" t="s">
        <v>635</v>
      </c>
      <c r="K33" s="5" t="n">
        <v>45062</v>
      </c>
      <c r="L33" s="5" t="n">
        <v>46158</v>
      </c>
    </row>
    <row r="34" customFormat="false" ht="14.25" hidden="false" customHeight="false" outlineLevel="0" collapsed="false">
      <c r="C34" s="0" t="s">
        <v>681</v>
      </c>
      <c r="D34" s="5"/>
      <c r="E34" s="5" t="n">
        <v>45401</v>
      </c>
      <c r="F34" s="5"/>
    </row>
    <row r="35" customFormat="false" ht="14.25" hidden="false" customHeight="false" outlineLevel="0" collapsed="false">
      <c r="A35" s="0" t="s">
        <v>682</v>
      </c>
      <c r="B35" s="7" t="n">
        <v>306115616089</v>
      </c>
      <c r="C35" s="6" t="s">
        <v>683</v>
      </c>
      <c r="D35" s="5" t="s">
        <v>613</v>
      </c>
      <c r="E35" s="5"/>
      <c r="F35" s="5"/>
      <c r="G35" s="6" t="s">
        <v>628</v>
      </c>
      <c r="H35" s="5" t="s">
        <v>614</v>
      </c>
      <c r="I35" s="5" t="s">
        <v>684</v>
      </c>
      <c r="J35" s="5" t="s">
        <v>685</v>
      </c>
      <c r="K35" s="5" t="n">
        <v>46191</v>
      </c>
      <c r="L35" s="5" t="n">
        <v>47286</v>
      </c>
    </row>
    <row r="36" customFormat="false" ht="14.25" hidden="false" customHeight="false" outlineLevel="0" collapsed="false">
      <c r="A36" s="0" t="s">
        <v>686</v>
      </c>
      <c r="B36" s="7" t="n">
        <v>6309085158086</v>
      </c>
      <c r="C36" s="6" t="s">
        <v>687</v>
      </c>
      <c r="D36" s="6" t="s">
        <v>613</v>
      </c>
      <c r="E36" s="5" t="s">
        <v>620</v>
      </c>
      <c r="F36" s="5"/>
      <c r="G36" s="6" t="s">
        <v>628</v>
      </c>
      <c r="H36" s="6" t="s">
        <v>629</v>
      </c>
      <c r="I36" s="6" t="s">
        <v>688</v>
      </c>
      <c r="J36" s="6" t="s">
        <v>609</v>
      </c>
      <c r="K36" s="5" t="n">
        <v>41207</v>
      </c>
    </row>
    <row r="37" customFormat="false" ht="14.25" hidden="false" customHeight="false" outlineLevel="0" collapsed="false">
      <c r="A37" s="0" t="s">
        <v>689</v>
      </c>
      <c r="B37" s="7" t="n">
        <v>8212146157089</v>
      </c>
      <c r="C37" s="6" t="s">
        <v>664</v>
      </c>
      <c r="D37" s="6" t="s">
        <v>633</v>
      </c>
      <c r="E37" s="5" t="n">
        <v>37969</v>
      </c>
      <c r="F37" s="5"/>
      <c r="G37" s="6" t="s">
        <v>628</v>
      </c>
      <c r="H37" s="6" t="s">
        <v>629</v>
      </c>
      <c r="I37" s="6" t="s">
        <v>690</v>
      </c>
      <c r="J37" s="6" t="s">
        <v>691</v>
      </c>
      <c r="K37" s="5" t="n">
        <v>44742</v>
      </c>
    </row>
    <row r="38" customFormat="false" ht="14.25" hidden="false" customHeight="false" outlineLevel="0" collapsed="false">
      <c r="E38" s="5"/>
      <c r="F38" s="5"/>
      <c r="J38" s="6" t="s">
        <v>692</v>
      </c>
      <c r="K38" s="5" t="n">
        <v>45208</v>
      </c>
    </row>
    <row r="39" customFormat="false" ht="14.25" hidden="false" customHeight="false" outlineLevel="0" collapsed="false">
      <c r="E39" s="5"/>
      <c r="F39" s="5"/>
      <c r="J39" s="6" t="s">
        <v>693</v>
      </c>
      <c r="K39" s="5" t="n">
        <v>45086</v>
      </c>
      <c r="L39" s="5" t="n">
        <v>45817</v>
      </c>
    </row>
    <row r="40" customFormat="false" ht="14.25" hidden="false" customHeight="false" outlineLevel="0" collapsed="false">
      <c r="E40" s="5"/>
      <c r="F40" s="5"/>
      <c r="J40" s="6" t="s">
        <v>694</v>
      </c>
      <c r="K40" s="5" t="n">
        <v>45523</v>
      </c>
    </row>
    <row r="41" customFormat="false" ht="14.25" hidden="false" customHeight="false" outlineLevel="0" collapsed="false">
      <c r="A41" s="0" t="s">
        <v>695</v>
      </c>
      <c r="B41" s="7" t="n">
        <v>7001025506081</v>
      </c>
      <c r="C41" s="6" t="s">
        <v>696</v>
      </c>
      <c r="D41" s="6" t="s">
        <v>613</v>
      </c>
      <c r="E41" s="5" t="s">
        <v>620</v>
      </c>
      <c r="F41" s="5"/>
      <c r="G41" s="6" t="s">
        <v>628</v>
      </c>
      <c r="H41" s="6" t="s">
        <v>629</v>
      </c>
      <c r="I41" s="6" t="s">
        <v>697</v>
      </c>
      <c r="J41" s="6" t="s">
        <v>698</v>
      </c>
      <c r="K41" s="5" t="n">
        <v>44923</v>
      </c>
      <c r="L41" s="6" t="s">
        <v>614</v>
      </c>
    </row>
    <row r="42" customFormat="false" ht="14.25" hidden="false" customHeight="false" outlineLevel="0" collapsed="false">
      <c r="A42" s="0" t="s">
        <v>699</v>
      </c>
      <c r="B42" s="7" t="n">
        <v>8410055831088</v>
      </c>
      <c r="C42" s="6" t="s">
        <v>700</v>
      </c>
      <c r="D42" s="6" t="s">
        <v>701</v>
      </c>
      <c r="E42" s="5" t="n">
        <v>39419</v>
      </c>
      <c r="F42" s="5"/>
      <c r="G42" s="6" t="s">
        <v>628</v>
      </c>
      <c r="H42" s="6" t="s">
        <v>614</v>
      </c>
      <c r="I42" s="6" t="s">
        <v>702</v>
      </c>
      <c r="J42" s="6" t="s">
        <v>700</v>
      </c>
      <c r="K42" s="5" t="n">
        <v>45393</v>
      </c>
      <c r="L42" s="6" t="s">
        <v>614</v>
      </c>
    </row>
    <row r="43" customFormat="false" ht="14.25" hidden="false" customHeight="false" outlineLevel="0" collapsed="false">
      <c r="A43" s="0" t="s">
        <v>703</v>
      </c>
      <c r="B43" s="7" t="n">
        <v>6802255411087</v>
      </c>
      <c r="C43" s="6" t="s">
        <v>704</v>
      </c>
      <c r="D43" s="6" t="s">
        <v>627</v>
      </c>
      <c r="E43" s="5" t="n">
        <v>33208</v>
      </c>
      <c r="F43" s="5"/>
      <c r="G43" s="6" t="s">
        <v>628</v>
      </c>
      <c r="H43" s="6" t="s">
        <v>629</v>
      </c>
      <c r="I43" s="6" t="s">
        <v>705</v>
      </c>
      <c r="J43" s="6" t="s">
        <v>706</v>
      </c>
      <c r="K43" s="5" t="n">
        <v>45806</v>
      </c>
      <c r="L43" s="5" t="n">
        <v>46535</v>
      </c>
    </row>
    <row r="44" customFormat="false" ht="14.25" hidden="false" customHeight="false" outlineLevel="0" collapsed="false">
      <c r="A44" s="0" t="s">
        <v>707</v>
      </c>
      <c r="B44" s="7" t="n">
        <v>6906145782084</v>
      </c>
      <c r="C44" s="6" t="s">
        <v>708</v>
      </c>
      <c r="D44" s="6" t="s">
        <v>613</v>
      </c>
      <c r="E44" s="5"/>
      <c r="F44" s="5"/>
      <c r="G44" s="6" t="s">
        <v>628</v>
      </c>
      <c r="H44" s="6" t="s">
        <v>629</v>
      </c>
      <c r="I44" s="6" t="s">
        <v>709</v>
      </c>
    </row>
    <row r="45" customFormat="false" ht="14.25" hidden="false" customHeight="false" outlineLevel="0" collapsed="false">
      <c r="A45" s="0" t="s">
        <v>710</v>
      </c>
      <c r="B45" s="7" t="n">
        <v>8407056117087</v>
      </c>
      <c r="C45" s="6" t="s">
        <v>711</v>
      </c>
      <c r="D45" s="6" t="s">
        <v>613</v>
      </c>
      <c r="E45" s="5"/>
      <c r="F45" s="5"/>
      <c r="G45" s="6" t="s">
        <v>628</v>
      </c>
      <c r="H45" s="6" t="s">
        <v>629</v>
      </c>
      <c r="I45" s="6" t="s">
        <v>712</v>
      </c>
    </row>
    <row r="46" customFormat="false" ht="14.25" hidden="false" customHeight="false" outlineLevel="0" collapsed="false">
      <c r="A46" s="0" t="s">
        <v>713</v>
      </c>
      <c r="B46" s="7" t="n">
        <v>9806255157084</v>
      </c>
      <c r="C46" s="6" t="s">
        <v>714</v>
      </c>
      <c r="D46" s="6" t="s">
        <v>715</v>
      </c>
      <c r="E46" s="5" t="n">
        <v>41983</v>
      </c>
      <c r="F46" s="5"/>
      <c r="G46" s="6" t="s">
        <v>628</v>
      </c>
      <c r="H46" s="6" t="s">
        <v>629</v>
      </c>
      <c r="I46" s="6" t="s">
        <v>716</v>
      </c>
      <c r="J46" s="6" t="s">
        <v>691</v>
      </c>
    </row>
    <row r="47" customFormat="false" ht="14.25" hidden="false" customHeight="false" outlineLevel="0" collapsed="false">
      <c r="E47" s="5"/>
      <c r="F47" s="5"/>
      <c r="J47" s="6" t="s">
        <v>717</v>
      </c>
      <c r="K47" s="5" t="n">
        <v>45791</v>
      </c>
      <c r="L47" s="5" t="n">
        <v>46521</v>
      </c>
    </row>
    <row r="48" customFormat="false" ht="14.25" hidden="false" customHeight="false" outlineLevel="0" collapsed="false">
      <c r="E48" s="5"/>
      <c r="F48" s="5"/>
      <c r="J48" s="6" t="s">
        <v>718</v>
      </c>
      <c r="K48" s="5" t="n">
        <v>45784</v>
      </c>
      <c r="L48" s="5" t="n">
        <v>46514</v>
      </c>
    </row>
    <row r="49" customFormat="false" ht="14.25" hidden="false" customHeight="false" outlineLevel="0" collapsed="false">
      <c r="E49" s="5"/>
      <c r="F49" s="5"/>
      <c r="J49" s="6" t="s">
        <v>719</v>
      </c>
      <c r="K49" s="5" t="n">
        <v>45790</v>
      </c>
      <c r="L49" s="5" t="n">
        <v>46519</v>
      </c>
    </row>
    <row r="50" customFormat="false" ht="14.25" hidden="false" customHeight="false" outlineLevel="0" collapsed="false">
      <c r="A50" s="0" t="s">
        <v>720</v>
      </c>
      <c r="B50" s="7" t="n">
        <v>7812245342085</v>
      </c>
      <c r="C50" s="6" t="s">
        <v>708</v>
      </c>
      <c r="D50" s="6" t="s">
        <v>613</v>
      </c>
      <c r="E50" s="5"/>
      <c r="F50" s="5"/>
      <c r="G50" s="6" t="s">
        <v>628</v>
      </c>
      <c r="H50" s="6" t="s">
        <v>629</v>
      </c>
      <c r="I50" s="6" t="s">
        <v>721</v>
      </c>
    </row>
    <row r="51" customFormat="false" ht="14.25" hidden="false" customHeight="false" outlineLevel="0" collapsed="false">
      <c r="A51" s="0" t="s">
        <v>722</v>
      </c>
      <c r="B51" s="7" t="n">
        <v>9210185637085</v>
      </c>
      <c r="C51" s="6" t="s">
        <v>723</v>
      </c>
      <c r="D51" s="6" t="s">
        <v>627</v>
      </c>
      <c r="E51" s="5" t="n">
        <v>41244</v>
      </c>
      <c r="F51" s="5"/>
      <c r="G51" s="6" t="s">
        <v>628</v>
      </c>
      <c r="H51" s="6" t="s">
        <v>629</v>
      </c>
      <c r="I51" s="6" t="s">
        <v>724</v>
      </c>
      <c r="J51" s="6" t="s">
        <v>725</v>
      </c>
      <c r="K51" s="5" t="n">
        <v>44742</v>
      </c>
    </row>
    <row r="52" customFormat="false" ht="14.25" hidden="false" customHeight="false" outlineLevel="0" collapsed="false">
      <c r="E52" s="5"/>
      <c r="F52" s="5"/>
      <c r="J52" s="6" t="s">
        <v>726</v>
      </c>
      <c r="K52" s="5" t="n">
        <v>45840</v>
      </c>
      <c r="L52" s="5" t="n">
        <v>46570</v>
      </c>
    </row>
    <row r="53" customFormat="false" ht="14.25" hidden="false" customHeight="false" outlineLevel="0" collapsed="false">
      <c r="E53" s="5"/>
      <c r="F53" s="5"/>
      <c r="J53" s="6" t="s">
        <v>727</v>
      </c>
      <c r="K53" s="5" t="n">
        <v>45790</v>
      </c>
      <c r="L53" s="5" t="n">
        <v>46519</v>
      </c>
    </row>
    <row r="54" customFormat="false" ht="14.25" hidden="false" customHeight="false" outlineLevel="0" collapsed="false">
      <c r="E54" s="5"/>
      <c r="F54" s="5"/>
      <c r="J54" s="6" t="s">
        <v>717</v>
      </c>
      <c r="K54" s="5" t="n">
        <v>45791</v>
      </c>
      <c r="L54" s="5" t="n">
        <v>46521</v>
      </c>
    </row>
    <row r="55" customFormat="false" ht="14.25" hidden="false" customHeight="false" outlineLevel="0" collapsed="false">
      <c r="A55" s="0" t="s">
        <v>728</v>
      </c>
      <c r="B55" s="7" t="n">
        <v>7809205384081</v>
      </c>
      <c r="C55" s="6" t="s">
        <v>729</v>
      </c>
      <c r="D55" s="6" t="s">
        <v>627</v>
      </c>
      <c r="E55" s="5" t="n">
        <v>32843</v>
      </c>
      <c r="F55" s="5"/>
      <c r="G55" s="6" t="s">
        <v>628</v>
      </c>
      <c r="H55" s="6" t="s">
        <v>629</v>
      </c>
      <c r="I55" s="6" t="s">
        <v>730</v>
      </c>
    </row>
    <row r="56" customFormat="false" ht="14.25" hidden="false" customHeight="false" outlineLevel="0" collapsed="false">
      <c r="A56" s="0" t="s">
        <v>731</v>
      </c>
      <c r="B56" s="7" t="n">
        <v>7501100775089</v>
      </c>
      <c r="C56" s="6" t="s">
        <v>732</v>
      </c>
      <c r="D56" s="6" t="s">
        <v>613</v>
      </c>
      <c r="E56" s="5"/>
      <c r="F56" s="5"/>
      <c r="G56" s="6" t="s">
        <v>628</v>
      </c>
      <c r="H56" s="6" t="s">
        <v>629</v>
      </c>
      <c r="I56" s="6" t="s">
        <v>733</v>
      </c>
    </row>
    <row r="57" customFormat="false" ht="14.25" hidden="false" customHeight="false" outlineLevel="0" collapsed="false">
      <c r="A57" s="0" t="s">
        <v>734</v>
      </c>
      <c r="B57" s="7" t="n">
        <v>7104255923081</v>
      </c>
      <c r="C57" s="6" t="s">
        <v>735</v>
      </c>
      <c r="D57" s="6" t="s">
        <v>613</v>
      </c>
      <c r="E57" s="5"/>
      <c r="F57" s="5"/>
      <c r="G57" s="6" t="s">
        <v>628</v>
      </c>
      <c r="H57" s="6" t="s">
        <v>629</v>
      </c>
      <c r="I57" s="6" t="s">
        <v>736</v>
      </c>
    </row>
    <row r="58" customFormat="false" ht="14.25" hidden="false" customHeight="false" outlineLevel="0" collapsed="false">
      <c r="A58" s="0" t="s">
        <v>737</v>
      </c>
      <c r="B58" s="7" t="n">
        <v>9110205953084</v>
      </c>
      <c r="C58" s="6" t="s">
        <v>672</v>
      </c>
      <c r="D58" s="6" t="s">
        <v>627</v>
      </c>
      <c r="E58" s="5" t="n">
        <v>40513</v>
      </c>
      <c r="F58" s="5"/>
      <c r="G58" s="6" t="s">
        <v>628</v>
      </c>
      <c r="H58" s="6" t="s">
        <v>629</v>
      </c>
      <c r="I58" s="6" t="s">
        <v>738</v>
      </c>
      <c r="J58" s="6" t="s">
        <v>717</v>
      </c>
      <c r="K58" s="5" t="n">
        <v>45798</v>
      </c>
      <c r="L58" s="5" t="n">
        <v>46528</v>
      </c>
    </row>
    <row r="59" customFormat="false" ht="14.25" hidden="false" customHeight="false" outlineLevel="0" collapsed="false">
      <c r="A59" s="0" t="s">
        <v>739</v>
      </c>
      <c r="B59" s="7" t="n">
        <v>7303065896087</v>
      </c>
      <c r="C59" s="6" t="s">
        <v>740</v>
      </c>
      <c r="D59" s="6" t="s">
        <v>670</v>
      </c>
      <c r="E59" s="5" t="n">
        <v>34304</v>
      </c>
      <c r="F59" s="5"/>
      <c r="G59" s="6" t="s">
        <v>628</v>
      </c>
      <c r="H59" s="6" t="s">
        <v>629</v>
      </c>
      <c r="I59" s="6" t="s">
        <v>741</v>
      </c>
      <c r="J59" s="6" t="s">
        <v>717</v>
      </c>
      <c r="K59" s="5" t="n">
        <v>45791</v>
      </c>
      <c r="L59" s="5" t="n">
        <v>46521</v>
      </c>
    </row>
    <row r="60" customFormat="false" ht="14.25" hidden="false" customHeight="false" outlineLevel="0" collapsed="false">
      <c r="B60" s="7"/>
      <c r="E60" s="5"/>
      <c r="F60" s="5"/>
      <c r="J60" s="6" t="s">
        <v>742</v>
      </c>
      <c r="K60" s="5" t="n">
        <v>45393</v>
      </c>
    </row>
    <row r="61" customFormat="false" ht="14.25" hidden="false" customHeight="false" outlineLevel="0" collapsed="false">
      <c r="A61" s="0" t="s">
        <v>743</v>
      </c>
      <c r="B61" s="7" t="n">
        <v>7608286009082</v>
      </c>
      <c r="C61" s="6" t="s">
        <v>744</v>
      </c>
      <c r="D61" s="6" t="s">
        <v>627</v>
      </c>
      <c r="E61" s="5" t="n">
        <v>35400</v>
      </c>
      <c r="F61" s="5"/>
      <c r="G61" s="6" t="s">
        <v>628</v>
      </c>
      <c r="H61" s="6" t="s">
        <v>629</v>
      </c>
      <c r="I61" s="6" t="s">
        <v>745</v>
      </c>
      <c r="J61" s="6" t="s">
        <v>746</v>
      </c>
      <c r="K61" s="5" t="n">
        <v>39118</v>
      </c>
    </row>
    <row r="62" customFormat="false" ht="14.25" hidden="false" customHeight="false" outlineLevel="0" collapsed="false">
      <c r="E62" s="5"/>
      <c r="F62" s="5"/>
      <c r="J62" s="6" t="s">
        <v>747</v>
      </c>
      <c r="K62" s="5" t="n">
        <v>39125</v>
      </c>
    </row>
    <row r="63" customFormat="false" ht="14.25" hidden="false" customHeight="false" outlineLevel="0" collapsed="false">
      <c r="E63" s="5"/>
      <c r="F63" s="5"/>
      <c r="J63" s="6" t="s">
        <v>748</v>
      </c>
      <c r="K63" s="5" t="n">
        <v>39132</v>
      </c>
    </row>
    <row r="64" customFormat="false" ht="14.25" hidden="false" customHeight="false" outlineLevel="0" collapsed="false">
      <c r="E64" s="5"/>
      <c r="F64" s="5"/>
      <c r="J64" s="6" t="s">
        <v>749</v>
      </c>
      <c r="K64" s="5" t="n">
        <v>39279</v>
      </c>
    </row>
    <row r="65" customFormat="false" ht="14.25" hidden="false" customHeight="false" outlineLevel="0" collapsed="false">
      <c r="J65" s="0" t="s">
        <v>750</v>
      </c>
      <c r="K65" s="5" t="n">
        <v>39279</v>
      </c>
    </row>
    <row r="66" customFormat="false" ht="14.25" hidden="false" customHeight="false" outlineLevel="0" collapsed="false">
      <c r="A66" s="0" t="s">
        <v>751</v>
      </c>
      <c r="B66" s="7" t="n">
        <v>7810035478085</v>
      </c>
      <c r="C66" s="6" t="s">
        <v>752</v>
      </c>
      <c r="D66" s="6" t="s">
        <v>753</v>
      </c>
      <c r="E66" s="5" t="n">
        <v>35765</v>
      </c>
      <c r="G66" s="6" t="s">
        <v>628</v>
      </c>
      <c r="H66" s="6" t="s">
        <v>629</v>
      </c>
      <c r="I66" s="6" t="s">
        <v>754</v>
      </c>
      <c r="J66" s="6" t="s">
        <v>726</v>
      </c>
      <c r="K66" s="5" t="n">
        <v>45033</v>
      </c>
      <c r="L66" s="5" t="n">
        <v>45764</v>
      </c>
    </row>
    <row r="67" customFormat="false" ht="14.25" hidden="false" customHeight="false" outlineLevel="0" collapsed="false">
      <c r="A67" s="0" t="s">
        <v>755</v>
      </c>
      <c r="B67" s="7" t="n">
        <v>7401230402086</v>
      </c>
      <c r="C67" s="6" t="s">
        <v>732</v>
      </c>
      <c r="D67" s="6" t="s">
        <v>613</v>
      </c>
      <c r="G67" s="6" t="s">
        <v>628</v>
      </c>
      <c r="H67" s="6" t="s">
        <v>629</v>
      </c>
      <c r="I67" s="6" t="s">
        <v>756</v>
      </c>
      <c r="J67" s="6" t="s">
        <v>685</v>
      </c>
      <c r="K67" s="5" t="n">
        <v>45062</v>
      </c>
      <c r="L67" s="5" t="n">
        <v>46158</v>
      </c>
    </row>
    <row r="68" customFormat="false" ht="14.25" hidden="false" customHeight="false" outlineLevel="0" collapsed="false">
      <c r="A68" s="0" t="s">
        <v>757</v>
      </c>
      <c r="B68" s="7" t="n">
        <v>7603305346086</v>
      </c>
      <c r="C68" s="6" t="s">
        <v>758</v>
      </c>
      <c r="D68" s="6" t="s">
        <v>627</v>
      </c>
      <c r="E68" s="5" t="n">
        <v>36130</v>
      </c>
      <c r="G68" s="6" t="s">
        <v>628</v>
      </c>
      <c r="H68" s="6" t="s">
        <v>629</v>
      </c>
      <c r="I68" s="6" t="s">
        <v>759</v>
      </c>
      <c r="J68" s="6" t="s">
        <v>726</v>
      </c>
      <c r="K68" s="5" t="n">
        <v>45840</v>
      </c>
      <c r="L68" s="5" t="n">
        <v>46570</v>
      </c>
    </row>
    <row r="69" customFormat="false" ht="14.25" hidden="false" customHeight="false" outlineLevel="0" collapsed="false">
      <c r="B69" s="7"/>
      <c r="E69" s="5"/>
      <c r="J69" s="6" t="s">
        <v>685</v>
      </c>
      <c r="K69" s="5" t="n">
        <v>46191</v>
      </c>
      <c r="L69" s="5" t="n">
        <v>47286</v>
      </c>
    </row>
    <row r="70" customFormat="false" ht="14.25" hidden="false" customHeight="false" outlineLevel="0" collapsed="false">
      <c r="A70" s="0" t="s">
        <v>760</v>
      </c>
      <c r="B70" s="7" t="n">
        <v>7208015733084</v>
      </c>
      <c r="C70" s="6" t="s">
        <v>761</v>
      </c>
      <c r="D70" s="6" t="s">
        <v>613</v>
      </c>
      <c r="G70" s="6" t="s">
        <v>628</v>
      </c>
      <c r="H70" s="6" t="s">
        <v>629</v>
      </c>
      <c r="I70" s="6" t="s">
        <v>762</v>
      </c>
    </row>
    <row r="71" customFormat="false" ht="14.25" hidden="false" customHeight="false" outlineLevel="0" collapsed="false">
      <c r="A71" s="0" t="s">
        <v>763</v>
      </c>
      <c r="B71" s="7" t="n">
        <v>8009035172082</v>
      </c>
      <c r="C71" s="6" t="s">
        <v>764</v>
      </c>
      <c r="D71" s="6" t="s">
        <v>627</v>
      </c>
      <c r="E71" s="5" t="n">
        <v>37956</v>
      </c>
      <c r="G71" s="6" t="s">
        <v>628</v>
      </c>
      <c r="H71" s="6" t="s">
        <v>629</v>
      </c>
      <c r="I71" s="6" t="s">
        <v>765</v>
      </c>
      <c r="J71" s="6" t="s">
        <v>766</v>
      </c>
      <c r="K71" s="5" t="n">
        <v>42023</v>
      </c>
    </row>
    <row r="72" customFormat="false" ht="14.25" hidden="false" customHeight="false" outlineLevel="0" collapsed="false">
      <c r="A72" s="0" t="s">
        <v>767</v>
      </c>
      <c r="B72" s="7" t="n">
        <v>7509165613087</v>
      </c>
      <c r="C72" s="6" t="s">
        <v>768</v>
      </c>
      <c r="D72" s="6" t="s">
        <v>753</v>
      </c>
      <c r="E72" s="5" t="n">
        <v>34304</v>
      </c>
      <c r="G72" s="6" t="s">
        <v>628</v>
      </c>
      <c r="H72" s="6" t="s">
        <v>629</v>
      </c>
      <c r="I72" s="6" t="s">
        <v>769</v>
      </c>
      <c r="J72" s="6" t="s">
        <v>672</v>
      </c>
      <c r="K72" s="5" t="n">
        <v>44742</v>
      </c>
    </row>
    <row r="73" customFormat="false" ht="14.25" hidden="false" customHeight="false" outlineLevel="0" collapsed="false">
      <c r="J73" s="0" t="s">
        <v>770</v>
      </c>
      <c r="K73" s="5" t="n">
        <v>45791</v>
      </c>
      <c r="L73" s="5" t="n">
        <v>46521</v>
      </c>
    </row>
    <row r="74" customFormat="false" ht="14.25" hidden="false" customHeight="false" outlineLevel="0" collapsed="false">
      <c r="J74" s="0" t="s">
        <v>718</v>
      </c>
      <c r="K74" s="5" t="n">
        <v>45784</v>
      </c>
      <c r="L74" s="5" t="n">
        <v>46514</v>
      </c>
    </row>
    <row r="75" customFormat="false" ht="14.25" hidden="false" customHeight="false" outlineLevel="0" collapsed="false">
      <c r="J75" s="0" t="s">
        <v>719</v>
      </c>
      <c r="K75" s="5" t="n">
        <v>45790</v>
      </c>
      <c r="L75" s="5" t="n">
        <v>46519</v>
      </c>
    </row>
    <row r="76" customFormat="false" ht="14.25" hidden="false" customHeight="false" outlineLevel="0" collapsed="false">
      <c r="A76" s="0" t="s">
        <v>771</v>
      </c>
      <c r="B76" s="7" t="n">
        <v>8802075252081</v>
      </c>
      <c r="C76" s="6" t="s">
        <v>772</v>
      </c>
      <c r="D76" s="5" t="s">
        <v>627</v>
      </c>
      <c r="E76" s="5" t="n">
        <v>39417</v>
      </c>
      <c r="G76" s="6" t="s">
        <v>628</v>
      </c>
      <c r="H76" s="6" t="s">
        <v>629</v>
      </c>
      <c r="I76" s="6" t="s">
        <v>773</v>
      </c>
      <c r="J76" s="6" t="s">
        <v>685</v>
      </c>
      <c r="K76" s="5" t="n">
        <v>46191</v>
      </c>
      <c r="L76" s="5" t="n">
        <v>47286</v>
      </c>
    </row>
    <row r="77" customFormat="false" ht="14.25" hidden="false" customHeight="false" outlineLevel="0" collapsed="false">
      <c r="A77" s="0" t="s">
        <v>774</v>
      </c>
      <c r="B77" s="7" t="n">
        <v>7708305593080</v>
      </c>
      <c r="C77" s="6" t="s">
        <v>764</v>
      </c>
      <c r="D77" s="6" t="s">
        <v>613</v>
      </c>
      <c r="G77" s="6" t="s">
        <v>628</v>
      </c>
      <c r="H77" s="6" t="s">
        <v>629</v>
      </c>
      <c r="I77" s="6" t="s">
        <v>775</v>
      </c>
      <c r="J77" s="6" t="s">
        <v>776</v>
      </c>
      <c r="K77" s="5" t="n">
        <v>38267</v>
      </c>
    </row>
    <row r="78" customFormat="false" ht="14.25" hidden="false" customHeight="false" outlineLevel="0" collapsed="false">
      <c r="A78" s="0" t="s">
        <v>777</v>
      </c>
      <c r="B78" s="7" t="n">
        <v>8910296023080</v>
      </c>
      <c r="C78" s="6" t="s">
        <v>643</v>
      </c>
      <c r="D78" s="6" t="s">
        <v>778</v>
      </c>
      <c r="E78" s="5" t="n">
        <v>37162</v>
      </c>
      <c r="G78" s="6" t="s">
        <v>628</v>
      </c>
      <c r="H78" s="6" t="s">
        <v>629</v>
      </c>
      <c r="I78" s="6" t="s">
        <v>779</v>
      </c>
      <c r="J78" s="6" t="s">
        <v>672</v>
      </c>
      <c r="K78" s="5" t="n">
        <v>44915</v>
      </c>
    </row>
    <row r="79" customFormat="false" ht="14.25" hidden="false" customHeight="false" outlineLevel="0" collapsed="false">
      <c r="A79" s="0" t="s">
        <v>780</v>
      </c>
      <c r="B79" s="7" t="n">
        <v>6804045604088</v>
      </c>
      <c r="C79" s="6" t="s">
        <v>729</v>
      </c>
      <c r="D79" s="6" t="s">
        <v>613</v>
      </c>
      <c r="G79" s="6" t="s">
        <v>628</v>
      </c>
      <c r="H79" s="6" t="s">
        <v>629</v>
      </c>
      <c r="I79" s="6" t="s">
        <v>781</v>
      </c>
    </row>
    <row r="80" customFormat="false" ht="14.25" hidden="false" customHeight="false" outlineLevel="0" collapsed="false">
      <c r="A80" s="0" t="s">
        <v>782</v>
      </c>
      <c r="B80" s="7" t="n">
        <v>7105055460083</v>
      </c>
      <c r="C80" s="6" t="s">
        <v>282</v>
      </c>
      <c r="D80" s="6" t="s">
        <v>613</v>
      </c>
      <c r="G80" s="6" t="s">
        <v>628</v>
      </c>
      <c r="H80" s="6" t="s">
        <v>629</v>
      </c>
      <c r="I80" s="6" t="s">
        <v>783</v>
      </c>
    </row>
    <row r="81" customFormat="false" ht="14.25" hidden="false" customHeight="false" outlineLevel="0" collapsed="false">
      <c r="A81" s="0" t="s">
        <v>784</v>
      </c>
      <c r="B81" s="7" t="n">
        <v>8504065205083</v>
      </c>
      <c r="C81" s="6" t="s">
        <v>764</v>
      </c>
      <c r="D81" s="6" t="s">
        <v>613</v>
      </c>
      <c r="G81" s="6" t="s">
        <v>628</v>
      </c>
      <c r="H81" s="6" t="s">
        <v>629</v>
      </c>
      <c r="I81" s="6" t="s">
        <v>785</v>
      </c>
    </row>
    <row r="82" customFormat="false" ht="14.25" hidden="false" customHeight="false" outlineLevel="0" collapsed="false">
      <c r="A82" s="0" t="s">
        <v>786</v>
      </c>
      <c r="B82" s="7" t="n">
        <v>7505075226083</v>
      </c>
      <c r="C82" s="6" t="s">
        <v>787</v>
      </c>
      <c r="D82" s="6" t="s">
        <v>613</v>
      </c>
      <c r="G82" s="6" t="s">
        <v>628</v>
      </c>
      <c r="H82" s="6" t="s">
        <v>629</v>
      </c>
      <c r="I82" s="6" t="s">
        <v>788</v>
      </c>
    </row>
    <row r="83" customFormat="false" ht="14.25" hidden="false" customHeight="false" outlineLevel="0" collapsed="false">
      <c r="A83" s="0" t="s">
        <v>789</v>
      </c>
      <c r="B83" s="7" t="n">
        <v>8903136329080</v>
      </c>
      <c r="C83" s="6" t="s">
        <v>758</v>
      </c>
      <c r="D83" s="6" t="s">
        <v>670</v>
      </c>
      <c r="E83" s="5" t="n">
        <v>39783</v>
      </c>
      <c r="G83" s="6" t="s">
        <v>628</v>
      </c>
      <c r="H83" s="6" t="s">
        <v>629</v>
      </c>
      <c r="I83" s="6" t="s">
        <v>790</v>
      </c>
      <c r="J83" s="6" t="s">
        <v>718</v>
      </c>
      <c r="K83" s="5" t="n">
        <v>45002</v>
      </c>
      <c r="L83" s="5" t="n">
        <v>45764</v>
      </c>
    </row>
    <row r="84" customFormat="false" ht="14.25" hidden="false" customHeight="false" outlineLevel="0" collapsed="false">
      <c r="J84" s="0" t="s">
        <v>726</v>
      </c>
      <c r="K84" s="5" t="n">
        <v>45804</v>
      </c>
      <c r="L84" s="5" t="n">
        <v>46534</v>
      </c>
    </row>
    <row r="85" customFormat="false" ht="14.25" hidden="false" customHeight="false" outlineLevel="0" collapsed="false">
      <c r="A85" s="0" t="s">
        <v>791</v>
      </c>
      <c r="B85" s="7" t="n">
        <v>7806067278088</v>
      </c>
      <c r="C85" s="6" t="s">
        <v>643</v>
      </c>
      <c r="D85" s="6" t="s">
        <v>670</v>
      </c>
      <c r="E85" s="5" t="n">
        <v>36130</v>
      </c>
      <c r="G85" s="6" t="s">
        <v>628</v>
      </c>
      <c r="H85" s="6" t="s">
        <v>629</v>
      </c>
      <c r="I85" s="6" t="s">
        <v>792</v>
      </c>
    </row>
    <row r="86" customFormat="false" ht="14.25" hidden="false" customHeight="false" outlineLevel="0" collapsed="false">
      <c r="A86" s="0" t="s">
        <v>793</v>
      </c>
      <c r="B86" s="7" t="n">
        <v>6104095061085</v>
      </c>
      <c r="C86" s="6" t="s">
        <v>794</v>
      </c>
      <c r="G86" s="6" t="s">
        <v>628</v>
      </c>
      <c r="H86" s="6" t="s">
        <v>629</v>
      </c>
      <c r="J86" s="6" t="s">
        <v>610</v>
      </c>
      <c r="K86" s="5" t="n">
        <v>43539</v>
      </c>
    </row>
    <row r="87" customFormat="false" ht="14.25" hidden="false" customHeight="false" outlineLevel="0" collapsed="false">
      <c r="A87" s="0" t="s">
        <v>795</v>
      </c>
      <c r="B87" s="7" t="n">
        <v>8606205096080</v>
      </c>
      <c r="C87" s="6" t="s">
        <v>676</v>
      </c>
      <c r="D87" s="6" t="s">
        <v>627</v>
      </c>
      <c r="E87" s="5" t="n">
        <v>38322</v>
      </c>
      <c r="G87" s="6" t="s">
        <v>628</v>
      </c>
      <c r="H87" s="6" t="s">
        <v>629</v>
      </c>
      <c r="I87" s="6" t="s">
        <v>796</v>
      </c>
      <c r="J87" s="6" t="s">
        <v>718</v>
      </c>
      <c r="K87" s="5" t="n">
        <v>45784</v>
      </c>
      <c r="L87" s="5" t="n">
        <v>46514</v>
      </c>
    </row>
    <row r="88" customFormat="false" ht="14.25" hidden="false" customHeight="false" outlineLevel="0" collapsed="false">
      <c r="B88" s="7"/>
      <c r="E88" s="5"/>
      <c r="J88" s="6" t="s">
        <v>797</v>
      </c>
      <c r="K88" s="5" t="n">
        <v>46163</v>
      </c>
      <c r="L88" s="5" t="n">
        <v>47258</v>
      </c>
    </row>
    <row r="89" customFormat="false" ht="14.25" hidden="false" customHeight="false" outlineLevel="0" collapsed="false">
      <c r="J89" s="0" t="s">
        <v>717</v>
      </c>
      <c r="K89" s="5" t="n">
        <v>45791</v>
      </c>
      <c r="L89" s="5" t="n">
        <v>46521</v>
      </c>
    </row>
    <row r="90" customFormat="false" ht="14.25" hidden="false" customHeight="false" outlineLevel="0" collapsed="false">
      <c r="J90" s="0" t="s">
        <v>726</v>
      </c>
      <c r="K90" s="5" t="n">
        <v>45804</v>
      </c>
      <c r="L90" s="5" t="n">
        <v>46534</v>
      </c>
    </row>
    <row r="91" customFormat="false" ht="14.25" hidden="false" customHeight="false" outlineLevel="0" collapsed="false">
      <c r="J91" s="0" t="s">
        <v>798</v>
      </c>
      <c r="K91" s="5" t="n">
        <v>45790</v>
      </c>
      <c r="L91" s="5" t="n">
        <v>46519</v>
      </c>
    </row>
    <row r="92" customFormat="false" ht="14.25" hidden="false" customHeight="false" outlineLevel="0" collapsed="false">
      <c r="A92" s="0" t="s">
        <v>799</v>
      </c>
      <c r="B92" s="7" t="n">
        <v>8404105896084</v>
      </c>
      <c r="C92" s="6" t="s">
        <v>740</v>
      </c>
      <c r="D92" s="6" t="s">
        <v>627</v>
      </c>
      <c r="E92" s="5" t="n">
        <v>38687</v>
      </c>
      <c r="G92" s="6" t="s">
        <v>628</v>
      </c>
      <c r="H92" s="6" t="s">
        <v>629</v>
      </c>
      <c r="I92" s="6" t="s">
        <v>800</v>
      </c>
      <c r="J92" s="6" t="s">
        <v>726</v>
      </c>
      <c r="K92" s="5" t="n">
        <v>45840</v>
      </c>
      <c r="L92" s="5" t="n">
        <v>46570</v>
      </c>
    </row>
    <row r="93" customFormat="false" ht="14.25" hidden="false" customHeight="false" outlineLevel="0" collapsed="false">
      <c r="J93" s="0" t="s">
        <v>801</v>
      </c>
      <c r="K93" s="5" t="n">
        <v>45267</v>
      </c>
      <c r="L93" s="5" t="n">
        <v>45450</v>
      </c>
    </row>
    <row r="94" customFormat="false" ht="14.25" hidden="false" customHeight="false" outlineLevel="0" collapsed="false">
      <c r="A94" s="0" t="s">
        <v>802</v>
      </c>
      <c r="B94" s="7" t="n">
        <v>8002116064088</v>
      </c>
      <c r="C94" s="6" t="s">
        <v>768</v>
      </c>
      <c r="D94" s="6" t="s">
        <v>670</v>
      </c>
      <c r="E94" s="5" t="n">
        <v>39052</v>
      </c>
      <c r="G94" s="6" t="s">
        <v>628</v>
      </c>
      <c r="H94" s="6" t="s">
        <v>629</v>
      </c>
      <c r="I94" s="6" t="s">
        <v>803</v>
      </c>
      <c r="J94" s="6" t="s">
        <v>804</v>
      </c>
      <c r="K94" s="5" t="n">
        <v>45791</v>
      </c>
      <c r="L94" s="5" t="n">
        <v>46521</v>
      </c>
    </row>
    <row r="95" customFormat="false" ht="14.25" hidden="false" customHeight="false" outlineLevel="0" collapsed="false">
      <c r="J95" s="0" t="s">
        <v>798</v>
      </c>
      <c r="K95" s="5" t="n">
        <v>45780</v>
      </c>
      <c r="L95" s="5" t="n">
        <v>46519</v>
      </c>
      <c r="M95" s="8"/>
    </row>
    <row r="96" customFormat="false" ht="14.25" hidden="false" customHeight="false" outlineLevel="0" collapsed="false">
      <c r="A96" s="0" t="s">
        <v>805</v>
      </c>
      <c r="B96" s="7" t="n">
        <v>6304125462085</v>
      </c>
      <c r="C96" s="6" t="s">
        <v>676</v>
      </c>
      <c r="D96" s="6" t="s">
        <v>613</v>
      </c>
      <c r="G96" s="6" t="s">
        <v>628</v>
      </c>
      <c r="H96" s="6" t="s">
        <v>629</v>
      </c>
      <c r="I96" s="6" t="s">
        <v>806</v>
      </c>
    </row>
    <row r="97" customFormat="false" ht="14.25" hidden="false" customHeight="false" outlineLevel="0" collapsed="false">
      <c r="A97" s="0" t="s">
        <v>807</v>
      </c>
      <c r="B97" s="7" t="n">
        <v>5902010284089</v>
      </c>
      <c r="C97" s="6" t="s">
        <v>732</v>
      </c>
      <c r="D97" s="6" t="s">
        <v>613</v>
      </c>
      <c r="G97" s="6" t="s">
        <v>628</v>
      </c>
      <c r="H97" s="6" t="s">
        <v>629</v>
      </c>
      <c r="I97" s="6" t="s">
        <v>808</v>
      </c>
    </row>
    <row r="98" customFormat="false" ht="14.25" hidden="false" customHeight="false" outlineLevel="0" collapsed="false">
      <c r="A98" s="0" t="s">
        <v>809</v>
      </c>
      <c r="B98" s="7" t="n">
        <v>6010295016086</v>
      </c>
      <c r="C98" s="6" t="s">
        <v>810</v>
      </c>
      <c r="D98" s="6" t="s">
        <v>613</v>
      </c>
      <c r="G98" s="6" t="s">
        <v>628</v>
      </c>
      <c r="H98" s="6" t="s">
        <v>629</v>
      </c>
    </row>
    <row r="99" customFormat="false" ht="14.25" hidden="false" customHeight="false" outlineLevel="0" collapsed="false">
      <c r="A99" s="0" t="s">
        <v>811</v>
      </c>
      <c r="B99" s="7" t="n">
        <v>9303020060082</v>
      </c>
      <c r="C99" s="6" t="s">
        <v>812</v>
      </c>
      <c r="D99" s="6" t="s">
        <v>633</v>
      </c>
      <c r="E99" s="5" t="n">
        <v>42339</v>
      </c>
      <c r="G99" s="6" t="s">
        <v>628</v>
      </c>
      <c r="H99" s="6" t="s">
        <v>629</v>
      </c>
      <c r="I99" s="6" t="s">
        <v>813</v>
      </c>
      <c r="J99" s="6" t="s">
        <v>814</v>
      </c>
      <c r="K99" s="5" t="n">
        <v>46163</v>
      </c>
      <c r="L99" s="5" t="n">
        <v>47258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6" activeCellId="0" sqref="H16"/>
    </sheetView>
  </sheetViews>
  <sheetFormatPr defaultColWidth="8.6796875" defaultRowHeight="14.25" zeroHeight="false" outlineLevelRow="0" outlineLevelCol="0"/>
  <cols>
    <col collapsed="false" customWidth="true" hidden="false" outlineLevel="0" max="1" min="1" style="0" width="20.78"/>
    <col collapsed="false" customWidth="true" hidden="false" outlineLevel="0" max="2" min="2" style="0" width="29.33"/>
    <col collapsed="false" customWidth="true" hidden="false" outlineLevel="0" max="3" min="3" style="0" width="11.77"/>
    <col collapsed="false" customWidth="true" hidden="false" outlineLevel="0" max="4" min="4" style="9" width="8.88"/>
    <col collapsed="false" customWidth="true" hidden="false" outlineLevel="0" max="5" min="5" style="0" width="21.77"/>
    <col collapsed="false" customWidth="true" hidden="false" outlineLevel="0" max="7" min="6" style="0" width="10.44"/>
  </cols>
  <sheetData>
    <row r="1" customFormat="false" ht="14.25" hidden="false" customHeight="false" outlineLevel="0" collapsed="false">
      <c r="A1" s="0" t="s">
        <v>815</v>
      </c>
      <c r="B1" s="0" t="s">
        <v>816</v>
      </c>
      <c r="C1" s="0" t="s">
        <v>817</v>
      </c>
      <c r="D1" s="9" t="s">
        <v>818</v>
      </c>
      <c r="E1" s="6" t="s">
        <v>819</v>
      </c>
      <c r="F1" s="6" t="s">
        <v>820</v>
      </c>
      <c r="G1" s="6" t="s">
        <v>471</v>
      </c>
      <c r="H1" s="6" t="s">
        <v>21</v>
      </c>
    </row>
    <row r="2" customFormat="false" ht="14.25" hidden="false" customHeight="false" outlineLevel="0" collapsed="false">
      <c r="A2" s="0" t="s">
        <v>227</v>
      </c>
      <c r="B2" s="0" t="s">
        <v>821</v>
      </c>
      <c r="C2" s="0" t="s">
        <v>822</v>
      </c>
      <c r="E2" s="6" t="s">
        <v>823</v>
      </c>
      <c r="F2" s="5" t="n">
        <v>46030.7674644676</v>
      </c>
      <c r="G2" s="5" t="n">
        <v>46395.7674644676</v>
      </c>
      <c r="H2" s="6" t="s">
        <v>475</v>
      </c>
    </row>
    <row r="3" customFormat="false" ht="14.25" hidden="false" customHeight="false" outlineLevel="0" collapsed="false">
      <c r="A3" s="0" t="s">
        <v>824</v>
      </c>
      <c r="B3" s="0" t="s">
        <v>825</v>
      </c>
      <c r="C3" s="0" t="s">
        <v>822</v>
      </c>
      <c r="E3" s="6" t="s">
        <v>823</v>
      </c>
      <c r="F3" s="5"/>
      <c r="G3" s="5"/>
      <c r="H3" s="6" t="s">
        <v>475</v>
      </c>
    </row>
    <row r="4" customFormat="false" ht="14.25" hidden="false" customHeight="false" outlineLevel="0" collapsed="false">
      <c r="A4" s="0" t="s">
        <v>826</v>
      </c>
      <c r="B4" s="0" t="s">
        <v>827</v>
      </c>
      <c r="C4" s="0" t="s">
        <v>822</v>
      </c>
      <c r="E4" s="6" t="s">
        <v>823</v>
      </c>
      <c r="F4" s="5"/>
      <c r="G4" s="5"/>
      <c r="H4" s="6" t="s">
        <v>475</v>
      </c>
    </row>
    <row r="5" customFormat="false" ht="14.25" hidden="false" customHeight="false" outlineLevel="0" collapsed="false">
      <c r="A5" s="0" t="s">
        <v>828</v>
      </c>
      <c r="B5" s="0" t="s">
        <v>829</v>
      </c>
      <c r="C5" s="0" t="s">
        <v>822</v>
      </c>
      <c r="E5" s="6" t="s">
        <v>823</v>
      </c>
      <c r="F5" s="5"/>
      <c r="G5" s="5"/>
      <c r="H5" s="6" t="s">
        <v>475</v>
      </c>
    </row>
    <row r="6" customFormat="false" ht="14.25" hidden="false" customHeight="false" outlineLevel="0" collapsed="false">
      <c r="A6" s="0" t="s">
        <v>830</v>
      </c>
      <c r="B6" s="0" t="s">
        <v>831</v>
      </c>
      <c r="C6" s="0" t="s">
        <v>822</v>
      </c>
      <c r="E6" s="6" t="s">
        <v>823</v>
      </c>
      <c r="F6" s="5"/>
      <c r="G6" s="5"/>
      <c r="H6" s="6" t="s">
        <v>475</v>
      </c>
    </row>
    <row r="7" customFormat="false" ht="14.25" hidden="false" customHeight="false" outlineLevel="0" collapsed="false">
      <c r="A7" s="0" t="s">
        <v>832</v>
      </c>
      <c r="B7" s="0" t="s">
        <v>833</v>
      </c>
      <c r="C7" s="0" t="s">
        <v>822</v>
      </c>
      <c r="E7" s="6" t="s">
        <v>823</v>
      </c>
      <c r="F7" s="5"/>
      <c r="G7" s="5"/>
      <c r="H7" s="6" t="s">
        <v>475</v>
      </c>
    </row>
    <row r="8" customFormat="false" ht="14.25" hidden="false" customHeight="false" outlineLevel="0" collapsed="false">
      <c r="A8" s="0" t="s">
        <v>834</v>
      </c>
      <c r="B8" s="0" t="s">
        <v>835</v>
      </c>
      <c r="C8" s="0" t="s">
        <v>822</v>
      </c>
      <c r="E8" s="6" t="s">
        <v>823</v>
      </c>
      <c r="F8" s="5"/>
      <c r="G8" s="5"/>
      <c r="H8" s="6" t="s">
        <v>475</v>
      </c>
    </row>
    <row r="9" customFormat="false" ht="14.25" hidden="false" customHeight="false" outlineLevel="0" collapsed="false">
      <c r="A9" s="0" t="s">
        <v>836</v>
      </c>
      <c r="B9" s="0" t="s">
        <v>837</v>
      </c>
      <c r="C9" s="0" t="s">
        <v>822</v>
      </c>
      <c r="E9" s="6" t="s">
        <v>823</v>
      </c>
      <c r="F9" s="5"/>
      <c r="G9" s="5"/>
      <c r="H9" s="6" t="s">
        <v>475</v>
      </c>
    </row>
    <row r="10" customFormat="false" ht="14.25" hidden="false" customHeight="false" outlineLevel="0" collapsed="false">
      <c r="A10" s="0" t="s">
        <v>838</v>
      </c>
      <c r="B10" s="0" t="s">
        <v>839</v>
      </c>
      <c r="C10" s="0" t="s">
        <v>822</v>
      </c>
      <c r="E10" s="6" t="s">
        <v>823</v>
      </c>
      <c r="F10" s="5"/>
      <c r="G10" s="5"/>
      <c r="H10" s="6" t="s">
        <v>475</v>
      </c>
    </row>
    <row r="11" customFormat="false" ht="14.25" hidden="false" customHeight="false" outlineLevel="0" collapsed="false">
      <c r="A11" s="0" t="s">
        <v>840</v>
      </c>
      <c r="B11" s="0" t="s">
        <v>841</v>
      </c>
      <c r="C11" s="0" t="s">
        <v>822</v>
      </c>
      <c r="E11" s="6" t="s">
        <v>823</v>
      </c>
      <c r="F11" s="5"/>
      <c r="G11" s="5"/>
      <c r="H11" s="6" t="s">
        <v>475</v>
      </c>
    </row>
    <row r="12" customFormat="false" ht="14.25" hidden="false" customHeight="false" outlineLevel="0" collapsed="false">
      <c r="A12" s="0" t="s">
        <v>842</v>
      </c>
      <c r="B12" s="0" t="s">
        <v>843</v>
      </c>
      <c r="C12" s="0" t="s">
        <v>822</v>
      </c>
      <c r="E12" s="6" t="s">
        <v>823</v>
      </c>
      <c r="F12" s="5"/>
      <c r="G12" s="5"/>
      <c r="H12" s="6" t="s">
        <v>475</v>
      </c>
    </row>
    <row r="13" customFormat="false" ht="14.25" hidden="false" customHeight="false" outlineLevel="0" collapsed="false">
      <c r="A13" s="0" t="s">
        <v>844</v>
      </c>
      <c r="B13" s="0" t="s">
        <v>845</v>
      </c>
      <c r="C13" s="0" t="s">
        <v>822</v>
      </c>
      <c r="E13" s="6" t="s">
        <v>823</v>
      </c>
      <c r="F13" s="5"/>
      <c r="G13" s="5"/>
      <c r="H13" s="6" t="s">
        <v>475</v>
      </c>
    </row>
    <row r="14" customFormat="false" ht="14.25" hidden="false" customHeight="false" outlineLevel="0" collapsed="false">
      <c r="A14" s="0" t="s">
        <v>846</v>
      </c>
      <c r="B14" s="0" t="s">
        <v>847</v>
      </c>
      <c r="C14" s="0" t="s">
        <v>822</v>
      </c>
      <c r="E14" s="6" t="s">
        <v>823</v>
      </c>
      <c r="F14" s="5"/>
      <c r="G14" s="5"/>
      <c r="H14" s="6" t="s">
        <v>475</v>
      </c>
    </row>
    <row r="15" customFormat="false" ht="14.25" hidden="false" customHeight="false" outlineLevel="0" collapsed="false">
      <c r="A15" s="0" t="s">
        <v>848</v>
      </c>
      <c r="B15" s="0" t="s">
        <v>849</v>
      </c>
      <c r="C15" s="0" t="s">
        <v>822</v>
      </c>
      <c r="E15" s="6" t="s">
        <v>823</v>
      </c>
      <c r="F15" s="5"/>
      <c r="G15" s="5"/>
      <c r="H15" s="6" t="s">
        <v>475</v>
      </c>
    </row>
    <row r="16" customFormat="false" ht="14.25" hidden="false" customHeight="false" outlineLevel="0" collapsed="false">
      <c r="F16" s="5"/>
      <c r="G16" s="5"/>
    </row>
    <row r="17" customFormat="false" ht="14.25" hidden="false" customHeight="false" outlineLevel="0" collapsed="false">
      <c r="F17" s="5"/>
      <c r="G17" s="5"/>
    </row>
    <row r="18" customFormat="false" ht="14.25" hidden="false" customHeight="false" outlineLevel="0" collapsed="false">
      <c r="F18" s="5"/>
      <c r="G18" s="5"/>
    </row>
    <row r="19" customFormat="false" ht="14.25" hidden="false" customHeight="false" outlineLevel="0" collapsed="false">
      <c r="F19" s="5"/>
      <c r="G19" s="5"/>
    </row>
    <row r="20" customFormat="false" ht="14.25" hidden="false" customHeight="false" outlineLevel="0" collapsed="false">
      <c r="F20" s="5"/>
      <c r="G20" s="5"/>
    </row>
    <row r="21" customFormat="false" ht="14.25" hidden="false" customHeight="false" outlineLevel="0" collapsed="false">
      <c r="F21" s="5"/>
      <c r="G21" s="5"/>
    </row>
    <row r="22" customFormat="false" ht="14.25" hidden="false" customHeight="false" outlineLevel="0" collapsed="false">
      <c r="F22" s="5"/>
      <c r="G22" s="5"/>
    </row>
    <row r="23" customFormat="false" ht="14.25" hidden="false" customHeight="false" outlineLevel="0" collapsed="false">
      <c r="F23" s="5"/>
      <c r="G23" s="5"/>
    </row>
    <row r="24" customFormat="false" ht="14.25" hidden="false" customHeight="false" outlineLevel="0" collapsed="false">
      <c r="F24" s="5"/>
      <c r="G24" s="5"/>
    </row>
    <row r="25" customFormat="false" ht="14.25" hidden="false" customHeight="false" outlineLevel="0" collapsed="false">
      <c r="F25" s="5"/>
      <c r="G25" s="5"/>
    </row>
    <row r="26" customFormat="false" ht="14.25" hidden="false" customHeight="false" outlineLevel="0" collapsed="false">
      <c r="F26" s="5"/>
      <c r="G26" s="5"/>
    </row>
    <row r="27" customFormat="false" ht="14.25" hidden="false" customHeight="false" outlineLevel="0" collapsed="false">
      <c r="F27" s="5"/>
      <c r="G27" s="5"/>
    </row>
    <row r="28" customFormat="false" ht="14.25" hidden="false" customHeight="false" outlineLevel="0" collapsed="false">
      <c r="F28" s="5"/>
      <c r="G28" s="5"/>
    </row>
    <row r="29" customFormat="false" ht="14.25" hidden="false" customHeight="false" outlineLevel="0" collapsed="false">
      <c r="F29" s="5"/>
      <c r="G29" s="5"/>
    </row>
    <row r="30" customFormat="false" ht="14.25" hidden="false" customHeight="false" outlineLevel="0" collapsed="false">
      <c r="F30" s="5"/>
      <c r="G30" s="5"/>
    </row>
    <row r="31" customFormat="false" ht="14.25" hidden="false" customHeight="false" outlineLevel="0" collapsed="false">
      <c r="F31" s="5"/>
      <c r="G31" s="5"/>
    </row>
    <row r="32" customFormat="false" ht="14.25" hidden="false" customHeight="false" outlineLevel="0" collapsed="false">
      <c r="F32" s="5"/>
      <c r="G32" s="5"/>
    </row>
    <row r="33" customFormat="false" ht="14.25" hidden="false" customHeight="false" outlineLevel="0" collapsed="false">
      <c r="F33" s="5"/>
      <c r="G33" s="5"/>
    </row>
    <row r="34" customFormat="false" ht="14.25" hidden="false" customHeight="false" outlineLevel="0" collapsed="false">
      <c r="F34" s="5"/>
      <c r="G34" s="5"/>
    </row>
    <row r="35" customFormat="false" ht="14.25" hidden="false" customHeight="false" outlineLevel="0" collapsed="false">
      <c r="F35" s="5"/>
      <c r="G35" s="5"/>
    </row>
    <row r="36" customFormat="false" ht="14.25" hidden="false" customHeight="false" outlineLevel="0" collapsed="false">
      <c r="F36" s="5"/>
      <c r="G36" s="5"/>
    </row>
    <row r="37" customFormat="false" ht="14.25" hidden="false" customHeight="false" outlineLevel="0" collapsed="false">
      <c r="F37" s="5"/>
      <c r="G37" s="5"/>
    </row>
    <row r="38" customFormat="false" ht="14.25" hidden="false" customHeight="false" outlineLevel="0" collapsed="false">
      <c r="F38" s="5"/>
      <c r="G38" s="5"/>
    </row>
    <row r="39" customFormat="false" ht="14.25" hidden="false" customHeight="false" outlineLevel="0" collapsed="false">
      <c r="F39" s="5"/>
      <c r="G39" s="5"/>
    </row>
    <row r="40" customFormat="false" ht="14.25" hidden="false" customHeight="false" outlineLevel="0" collapsed="false">
      <c r="F40" s="5"/>
      <c r="G40" s="5"/>
    </row>
    <row r="41" customFormat="false" ht="14.25" hidden="false" customHeight="false" outlineLevel="0" collapsed="false">
      <c r="F41" s="5"/>
      <c r="G41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3" activeCellId="0" sqref="E23"/>
    </sheetView>
  </sheetViews>
  <sheetFormatPr defaultColWidth="8.6796875" defaultRowHeight="14.25" zeroHeight="false" outlineLevelRow="0" outlineLevelCol="0"/>
  <cols>
    <col collapsed="false" customWidth="true" hidden="false" outlineLevel="0" max="1" min="1" style="0" width="34.78"/>
    <col collapsed="false" customWidth="true" hidden="false" outlineLevel="0" max="2" min="2" style="0" width="24.21"/>
    <col collapsed="false" customWidth="true" hidden="false" outlineLevel="0" max="3" min="3" style="0" width="27.11"/>
    <col collapsed="false" customWidth="true" hidden="false" outlineLevel="0" max="4" min="4" style="0" width="19.11"/>
  </cols>
  <sheetData>
    <row r="1" customFormat="false" ht="14.25" hidden="false" customHeight="false" outlineLevel="0" collapsed="false">
      <c r="A1" s="0" t="s">
        <v>850</v>
      </c>
      <c r="B1" s="0" t="s">
        <v>851</v>
      </c>
      <c r="C1" s="0" t="s">
        <v>852</v>
      </c>
      <c r="D1" s="0" t="s">
        <v>853</v>
      </c>
    </row>
    <row r="2" customFormat="false" ht="14.25" hidden="false" customHeight="false" outlineLevel="0" collapsed="false">
      <c r="A2" s="0" t="s">
        <v>854</v>
      </c>
      <c r="B2" s="0" t="s">
        <v>855</v>
      </c>
      <c r="C2" s="0" t="s">
        <v>856</v>
      </c>
    </row>
    <row r="3" customFormat="false" ht="14.25" hidden="false" customHeight="false" outlineLevel="0" collapsed="false">
      <c r="A3" s="0" t="s">
        <v>857</v>
      </c>
      <c r="B3" s="0" t="s">
        <v>858</v>
      </c>
      <c r="C3" s="0" t="s">
        <v>856</v>
      </c>
    </row>
    <row r="4" customFormat="false" ht="14.25" hidden="false" customHeight="false" outlineLevel="0" collapsed="false">
      <c r="A4" s="0" t="s">
        <v>859</v>
      </c>
      <c r="B4" s="0" t="s">
        <v>860</v>
      </c>
      <c r="C4" s="0" t="s">
        <v>856</v>
      </c>
    </row>
    <row r="5" customFormat="false" ht="14.25" hidden="false" customHeight="false" outlineLevel="0" collapsed="false">
      <c r="A5" s="0" t="s">
        <v>861</v>
      </c>
      <c r="B5" s="0" t="s">
        <v>862</v>
      </c>
      <c r="C5" s="0" t="s">
        <v>856</v>
      </c>
    </row>
    <row r="6" customFormat="false" ht="14.25" hidden="false" customHeight="false" outlineLevel="0" collapsed="false">
      <c r="A6" s="0" t="s">
        <v>863</v>
      </c>
      <c r="B6" s="0" t="s">
        <v>597</v>
      </c>
      <c r="C6" s="0" t="s">
        <v>856</v>
      </c>
    </row>
    <row r="7" customFormat="false" ht="14.25" hidden="false" customHeight="false" outlineLevel="0" collapsed="false">
      <c r="A7" s="0" t="s">
        <v>864</v>
      </c>
      <c r="B7" s="0" t="s">
        <v>865</v>
      </c>
      <c r="C7" s="0" t="s">
        <v>856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1" min="1" style="0" width="37.11"/>
    <col collapsed="false" customWidth="true" hidden="false" outlineLevel="0" max="4" min="4" style="0" width="26.88"/>
    <col collapsed="false" customWidth="true" hidden="false" outlineLevel="0" max="5" min="5" style="0" width="33.11"/>
    <col collapsed="false" customWidth="true" hidden="false" outlineLevel="0" max="6" min="6" style="0" width="20.78"/>
  </cols>
  <sheetData>
    <row r="1" customFormat="false" ht="14.25" hidden="false" customHeight="false" outlineLevel="0" collapsed="false">
      <c r="A1" s="0" t="s">
        <v>13</v>
      </c>
      <c r="B1" s="0" t="s">
        <v>866</v>
      </c>
      <c r="C1" s="0" t="s">
        <v>867</v>
      </c>
      <c r="D1" s="0" t="s">
        <v>868</v>
      </c>
      <c r="E1" s="0" t="s">
        <v>869</v>
      </c>
      <c r="F1" s="0" t="s">
        <v>18</v>
      </c>
    </row>
    <row r="2" customFormat="false" ht="14.25" hidden="false" customHeight="false" outlineLevel="0" collapsed="false">
      <c r="A2" s="0" t="s">
        <v>870</v>
      </c>
      <c r="E2" s="0" t="s">
        <v>871</v>
      </c>
      <c r="F2" s="0" t="s">
        <v>276</v>
      </c>
    </row>
    <row r="3" customFormat="false" ht="14.25" hidden="false" customHeight="false" outlineLevel="0" collapsed="false">
      <c r="A3" s="0" t="s">
        <v>872</v>
      </c>
      <c r="D3" s="0" t="s">
        <v>870</v>
      </c>
      <c r="E3" s="0" t="s">
        <v>871</v>
      </c>
      <c r="F3" s="0" t="s">
        <v>873</v>
      </c>
    </row>
    <row r="4" customFormat="false" ht="14.25" hidden="false" customHeight="false" outlineLevel="0" collapsed="false">
      <c r="A4" s="0" t="s">
        <v>874</v>
      </c>
      <c r="D4" s="0" t="s">
        <v>872</v>
      </c>
      <c r="E4" s="0" t="s">
        <v>871</v>
      </c>
      <c r="F4" s="0" t="s">
        <v>875</v>
      </c>
    </row>
    <row r="5" customFormat="false" ht="14.25" hidden="false" customHeight="false" outlineLevel="0" collapsed="false">
      <c r="A5" s="0" t="s">
        <v>871</v>
      </c>
      <c r="D5" s="0" t="s">
        <v>874</v>
      </c>
      <c r="E5" s="0" t="s">
        <v>876</v>
      </c>
      <c r="F5" s="0" t="s">
        <v>276</v>
      </c>
    </row>
    <row r="6" customFormat="false" ht="14.25" hidden="false" customHeight="false" outlineLevel="0" collapsed="false">
      <c r="A6" s="0" t="s">
        <v>876</v>
      </c>
      <c r="D6" s="0" t="s">
        <v>871</v>
      </c>
      <c r="E6" s="0" t="s">
        <v>877</v>
      </c>
      <c r="F6" s="0" t="s">
        <v>875</v>
      </c>
    </row>
    <row r="7" customFormat="false" ht="14.25" hidden="false" customHeight="false" outlineLevel="0" collapsed="false">
      <c r="A7" s="0" t="s">
        <v>877</v>
      </c>
      <c r="D7" s="0" t="s">
        <v>876</v>
      </c>
      <c r="E7" s="0" t="s">
        <v>878</v>
      </c>
      <c r="F7" s="0" t="s">
        <v>276</v>
      </c>
    </row>
    <row r="8" customFormat="false" ht="14.25" hidden="false" customHeight="false" outlineLevel="0" collapsed="false">
      <c r="A8" s="0" t="s">
        <v>879</v>
      </c>
      <c r="E8" s="0" t="s">
        <v>880</v>
      </c>
      <c r="F8" s="0" t="s">
        <v>875</v>
      </c>
    </row>
    <row r="9" customFormat="false" ht="14.25" hidden="false" customHeight="false" outlineLevel="0" collapsed="false">
      <c r="A9" s="0" t="s">
        <v>881</v>
      </c>
      <c r="E9" s="0" t="s">
        <v>880</v>
      </c>
      <c r="F9" s="0" t="s">
        <v>873</v>
      </c>
    </row>
    <row r="10" customFormat="false" ht="14.25" hidden="false" customHeight="false" outlineLevel="0" collapsed="false">
      <c r="A10" s="0" t="s">
        <v>882</v>
      </c>
      <c r="D10" s="0" t="s">
        <v>880</v>
      </c>
      <c r="E10" s="0" t="s">
        <v>880</v>
      </c>
      <c r="F10" s="0" t="s">
        <v>875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B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1" min="1" style="0" width="29.11"/>
  </cols>
  <sheetData>
    <row r="1" customFormat="false" ht="14.25" hidden="false" customHeight="false" outlineLevel="0" collapsed="false">
      <c r="A1" s="0" t="s">
        <v>13</v>
      </c>
      <c r="B1" s="0" t="s">
        <v>17</v>
      </c>
    </row>
    <row r="2" customFormat="false" ht="14.25" hidden="false" customHeight="false" outlineLevel="0" collapsed="false">
      <c r="A2" s="0" t="s">
        <v>872</v>
      </c>
      <c r="B2" s="0" t="n">
        <v>74</v>
      </c>
    </row>
    <row r="3" customFormat="false" ht="14.25" hidden="false" customHeight="false" outlineLevel="0" collapsed="false">
      <c r="A3" s="0" t="s">
        <v>882</v>
      </c>
      <c r="B3" s="0" t="n">
        <v>50</v>
      </c>
    </row>
    <row r="4" customFormat="false" ht="14.25" hidden="false" customHeight="false" outlineLevel="0" collapsed="false">
      <c r="A4" s="0" t="s">
        <v>877</v>
      </c>
      <c r="B4" s="0" t="n">
        <v>28</v>
      </c>
    </row>
    <row r="5" customFormat="false" ht="14.25" hidden="false" customHeight="false" outlineLevel="0" collapsed="false">
      <c r="A5" s="0" t="s">
        <v>881</v>
      </c>
      <c r="B5" s="0" t="n">
        <v>118</v>
      </c>
    </row>
    <row r="6" customFormat="false" ht="14.25" hidden="false" customHeight="false" outlineLevel="0" collapsed="false">
      <c r="A6" s="0" t="s">
        <v>874</v>
      </c>
      <c r="B6" s="0" t="n">
        <v>102</v>
      </c>
    </row>
    <row r="7" customFormat="false" ht="14.25" hidden="false" customHeight="false" outlineLevel="0" collapsed="false">
      <c r="A7" s="0" t="s">
        <v>871</v>
      </c>
      <c r="B7" s="0" t="n">
        <v>93</v>
      </c>
    </row>
    <row r="8" customFormat="false" ht="14.25" hidden="false" customHeight="false" outlineLevel="0" collapsed="false">
      <c r="A8" s="0" t="s">
        <v>876</v>
      </c>
      <c r="B8" s="0" t="n">
        <v>85</v>
      </c>
    </row>
    <row r="9" customFormat="false" ht="14.25" hidden="false" customHeight="false" outlineLevel="0" collapsed="false">
      <c r="A9" s="0" t="s">
        <v>870</v>
      </c>
      <c r="B9" s="0" t="n">
        <v>94</v>
      </c>
    </row>
    <row r="10" customFormat="false" ht="14.25" hidden="false" customHeight="false" outlineLevel="0" collapsed="false">
      <c r="A10" s="0" t="s">
        <v>879</v>
      </c>
      <c r="B10" s="0" t="n">
        <v>89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4.25" zeroHeight="false" outlineLevelRow="0" outlineLevelCol="0"/>
  <sheetData>
    <row r="1" customFormat="false" ht="14.25" hidden="false" customHeight="false" outlineLevel="0" collapsed="false">
      <c r="A1" s="0" t="s">
        <v>21</v>
      </c>
      <c r="B1" s="0" t="s">
        <v>883</v>
      </c>
    </row>
    <row r="2" customFormat="false" ht="14.25" hidden="false" customHeight="false" outlineLevel="0" collapsed="false">
      <c r="A2" s="0" t="s">
        <v>277</v>
      </c>
      <c r="B2" s="0" t="n">
        <f aca="false">COUNTIF(CAPA!J:J,"Open")</f>
        <v>8</v>
      </c>
    </row>
    <row r="3" customFormat="false" ht="14.25" hidden="false" customHeight="false" outlineLevel="0" collapsed="false">
      <c r="A3" s="0" t="s">
        <v>225</v>
      </c>
      <c r="B3" s="0" t="n">
        <f aca="false">COUNTIF(CAPA!J:J,"Closed")</f>
        <v>12</v>
      </c>
    </row>
    <row r="4" customFormat="false" ht="14.25" hidden="false" customHeight="false" outlineLevel="0" collapsed="false">
      <c r="A4" s="0" t="s">
        <v>884</v>
      </c>
      <c r="B4" s="0" t="n">
        <f aca="false">COUNTIF(CAPA!J:J,"Overdue")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1" min="1" style="0" width="20.33"/>
  </cols>
  <sheetData>
    <row r="1" customFormat="false" ht="14.25" hidden="false" customHeight="false" outlineLevel="0" collapsed="false">
      <c r="A1" s="0" t="s">
        <v>21</v>
      </c>
      <c r="B1" s="0" t="s">
        <v>883</v>
      </c>
    </row>
    <row r="2" customFormat="false" ht="14.25" hidden="false" customHeight="false" outlineLevel="0" collapsed="false">
      <c r="A2" s="0" t="s">
        <v>277</v>
      </c>
      <c r="B2" s="0" t="n">
        <f aca="false">COUNTIF(NCR_Log!H:H,"Open")</f>
        <v>7</v>
      </c>
    </row>
    <row r="3" customFormat="false" ht="14.25" hidden="false" customHeight="false" outlineLevel="0" collapsed="false">
      <c r="A3" s="0" t="s">
        <v>218</v>
      </c>
      <c r="B3" s="0" t="n">
        <f aca="false">COUNTIF(NCR_Log!H:H,"Under Review")</f>
        <v>1</v>
      </c>
    </row>
    <row r="4" customFormat="false" ht="14.25" hidden="false" customHeight="false" outlineLevel="0" collapsed="false">
      <c r="A4" s="0" t="s">
        <v>225</v>
      </c>
      <c r="B4" s="0" t="n">
        <f aca="false">COUNTIF(NCR_Log!H:H,"Closed")</f>
        <v>12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B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4.25" zeroHeight="false" outlineLevelRow="0" outlineLevelCol="0"/>
  <sheetData>
    <row r="1" customFormat="false" ht="14.25" hidden="false" customHeight="false" outlineLevel="0" collapsed="false">
      <c r="A1" s="0" t="s">
        <v>21</v>
      </c>
      <c r="B1" s="0" t="s">
        <v>883</v>
      </c>
    </row>
    <row r="2" customFormat="false" ht="14.25" hidden="false" customHeight="false" outlineLevel="0" collapsed="false">
      <c r="A2" s="0" t="s">
        <v>603</v>
      </c>
      <c r="B2" s="0" t="n">
        <v>46</v>
      </c>
    </row>
    <row r="3" customFormat="false" ht="14.25" hidden="false" customHeight="false" outlineLevel="0" collapsed="false">
      <c r="A3" s="0" t="s">
        <v>885</v>
      </c>
      <c r="B3" s="0" t="n">
        <v>14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B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25" activeCellId="0" sqref="H25"/>
    </sheetView>
  </sheetViews>
  <sheetFormatPr defaultColWidth="8.6796875" defaultRowHeight="14.25" zeroHeight="false" outlineLevelRow="0" outlineLevelCol="0"/>
  <sheetData>
    <row r="1" customFormat="false" ht="14.25" hidden="false" customHeight="false" outlineLevel="0" collapsed="false">
      <c r="A1" s="0" t="s">
        <v>818</v>
      </c>
      <c r="B1" s="0" t="s">
        <v>883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4.2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2026-02-21T16:33:37Z</dcterms:created>
  <dc:creator>AKLIN CARBIDE COMPLIANCE</dc:creator>
  <dc:description/>
  <dc:language>en-US</dc:language>
  <cp:lastModifiedBy/>
  <dcterms:modified xsi:type="dcterms:W3CDTF">2026-08-25T07:51:07Z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